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351ed8698b43e2" /></Relationships>
</file>

<file path=xl/workbook.xml><?xml version="1.0" encoding="utf-8"?>
<x:workbook xmlns:x="http://schemas.openxmlformats.org/spreadsheetml/2006/main">
  <x:sheets>
    <x:sheet xmlns:r="http://schemas.openxmlformats.org/officeDocument/2006/relationships" name="Summary" sheetId="1" r:id="Ra4e1b52612ea4853"/>
    <x:sheet xmlns:r="http://schemas.openxmlformats.org/officeDocument/2006/relationships" name="Records" sheetId="2" r:id="Rbbe1df662fef4b42"/>
    <x:sheet xmlns:r="http://schemas.openxmlformats.org/officeDocument/2006/relationships" name="Abstracts" sheetId="3" r:id="R1bffd927c25c4341"/>
    <x:sheet xmlns:r="http://schemas.openxmlformats.org/officeDocument/2006/relationships" name="Methodology" sheetId="4" r:id="Raca357df1db844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1">
    <x:font>
      <x:sz val="11"/>
      <x:name val="Carlito"/>
    </x:font>
    <x:font>
      <x:b/>
      <x:sz val="18"/>
      <x:color rgb="FFFFFFFF"/>
      <x:name val="Carlito"/>
    </x:font>
    <x:font>
      <x:i/>
      <x:sz val="11"/>
      <x:color rgb="FF172033"/>
      <x:name val="Carlito"/>
    </x:font>
    <x:font>
      <x:b/>
      <x:sz val="11"/>
      <x:color rgb="FF172033"/>
      <x:name val="Carlito"/>
    </x:font>
    <x:font>
      <x:b/>
      <x:sz val="14"/>
      <x:color rgb="FF16324F"/>
      <x:name val="Carlito"/>
    </x:font>
    <x:font>
      <x:b/>
      <x:sz val="11"/>
      <x:color rgb="FFFFFFFF"/>
      <x:name val="Carlito"/>
    </x:font>
    <x:font>
      <x:b/>
      <x:sz val="11"/>
      <x:color rgb="FF16324F"/>
      <x:name val="Carlito"/>
    </x:font>
    <x:font>
      <x:sz val="11"/>
      <x:color rgb="FF172033"/>
      <x:name val="Carlito"/>
    </x:font>
    <x:font>
      <x:sz val="10"/>
      <x:color rgb="FF172033"/>
      <x:name val="Carlito"/>
    </x:font>
    <x:font>
      <x:b/>
      <x:sz val="16"/>
      <x:color rgb="FFFFFFFF"/>
      <x:name val="Carlito"/>
    </x:font>
    <x:font>
      <x:b/>
      <x:sz val="11"/>
      <x:name val="Carlito"/>
    </x:font>
  </x:fonts>
  <x:fills count="8">
    <x:fill>
      <x:patternFill patternType="none"/>
    </x:fill>
    <x:fill>
      <x:patternFill patternType="gray125"/>
    </x:fill>
    <x:fill>
      <x:patternFill patternType="solid">
        <x:fgColor rgb="FF16324F"/>
      </x:patternFill>
    </x:fill>
    <x:fill>
      <x:patternFill patternType="solid">
        <x:fgColor rgb="FFE8F1F8"/>
      </x:patternFill>
    </x:fill>
    <x:fill>
      <x:patternFill patternType="solid">
        <x:fgColor rgb="FFF3F4F6"/>
      </x:patternFill>
    </x:fill>
    <x:fill>
      <x:patternFill patternType="solid">
        <x:fgColor rgb="FFFFFFFF"/>
      </x:patternFill>
    </x:fill>
    <x:fill>
      <x:patternFill patternType="solid">
        <x:fgColor rgb="FF0F766E"/>
      </x:patternFill>
    </x:fill>
    <x:fill>
      <x:patternFill patternType="solid">
        <x:fgColor rgb="FFF8FAFC"/>
      </x:patternFill>
    </x:fill>
  </x:fills>
  <x:borders count="17">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top style="thin">
        <x:color rgb="FFD1D5DB"/>
      </x:top>
    </x:border>
    <x:border>
      <x:bottom style="thin">
        <x:color rgb="FFD1D5DB"/>
      </x:bottom>
    </x:border>
    <x:border>
      <x:right style="thin">
        <x:color rgb="FF2E4A62"/>
      </x:right>
    </x:border>
    <x:border>
      <x:left style="thin">
        <x:color rgb="FF2E4A62"/>
      </x:left>
      <x:right style="thin">
        <x:color rgb="FF2E4A62"/>
      </x:right>
    </x:border>
    <x:border>
      <x:left style="thin">
        <x:color rgb="FF2E4A62"/>
      </x:left>
    </x:border>
    <x:border>
      <x:left style="thin">
        <x:color rgb="FFD1D5DB"/>
      </x:left>
      <x:right style="thin">
        <x:color rgb="FFD1D5DB"/>
      </x:right>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left style="thin">
        <x:color rgb="FFD1D5DB"/>
      </x:left>
      <x:right style="thin">
        <x:color rgb="FFD1D5DB"/>
      </x:right>
      <x:top style="thin">
        <x:color rgb="FFD1D5DB"/>
      </x:top>
    </x:border>
  </x:borders>
  <x:cellStyleXfs count="1">
    <x:xf numFmtId="0" fontId="0" fillId="0" borderId="0"/>
  </x:cellStyleXfs>
  <x:cellXfs count="1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1" xfId="0" applyNumberFormat="1" applyFont="1" applyFill="1" applyBorder="1"/>
    <x:xf numFmtId="0" fontId="0" fillId="4" borderId="3" xfId="0" applyNumberFormat="1" applyFont="1" applyFill="1" applyBorder="1"/>
    <x:xf numFmtId="0" fontId="0" fillId="4" borderId="5"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5" xfId="0" applyNumberFormat="1" applyFont="1" applyFill="1" applyBorder="1"/>
    <x:xf numFmtId="0" fontId="0" fillId="5" borderId="2" xfId="0" applyNumberFormat="1" applyFont="1" applyFill="1" applyBorder="1"/>
    <x:xf numFmtId="0" fontId="0" fillId="5" borderId="4" xfId="0" applyNumberFormat="1" applyFont="1" applyFill="1" applyBorder="1"/>
    <x:xf numFmtId="0" fontId="0" fillId="5" borderId="6" xfId="0" applyNumberFormat="1" applyFont="1" applyFill="1" applyBorder="1"/>
    <x:xf numFmtId="0" fontId="4" fillId="5" borderId="2" xfId="0" applyNumberFormat="1" applyFont="1" applyFill="1" applyBorder="1"/>
    <x:xf numFmtId="0" fontId="4" fillId="5" borderId="4" xfId="0" applyNumberFormat="1" applyFont="1" applyFill="1" applyBorder="1"/>
    <x:xf numFmtId="0" fontId="4" fillId="5" borderId="6" xfId="0" applyNumberFormat="1" applyFont="1" applyFill="1" applyBorder="1"/>
    <x:xf numFmtId="200" fontId="4" fillId="5" borderId="2" xfId="0" applyNumberFormat="1" applyFont="1" applyFill="1" applyBorder="1"/>
    <x:xf numFmtId="200" fontId="4" fillId="5" borderId="4" xfId="0" applyNumberFormat="1" applyFont="1" applyFill="1" applyBorder="1"/>
    <x:xf numFmtId="200" fontId="4" fillId="5" borderId="6" xfId="0" applyNumberFormat="1" applyFont="1" applyFill="1" applyBorder="1"/>
    <x:xf numFmtId="200" fontId="4" fillId="5" borderId="2" xfId="0" applyNumberFormat="1" applyFont="1" applyFill="1" applyBorder="1" applyAlignment="1">
      <x:alignment horizontal="right"/>
    </x:xf>
    <x:xf numFmtId="200" fontId="4" fillId="5" borderId="4" xfId="0" applyNumberFormat="1" applyFont="1" applyFill="1" applyBorder="1" applyAlignment="1">
      <x:alignment horizontal="right"/>
    </x:xf>
    <x:xf numFmtId="200" fontId="4" fillId="5" borderId="6" xfId="0" applyNumberFormat="1" applyFont="1" applyFill="1" applyBorder="1" applyAlignment="1">
      <x:alignment horizontal="right"/>
    </x:xf>
    <x:xf numFmtId="0" fontId="0" fillId="6" borderId="1" xfId="0" applyNumberFormat="1" applyFont="1" applyFill="1" applyBorder="1"/>
    <x:xf numFmtId="0" fontId="0" fillId="6" borderId="2"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0" fillId="4" borderId="3" xfId="0" applyNumberFormat="1" applyFont="1" applyFill="1" applyBorder="1" applyAlignment="1">
      <x:alignment wrapText="1"/>
    </x:xf>
    <x:xf numFmtId="0" fontId="0" fillId="4" borderId="5" xfId="0" applyNumberFormat="1" applyFont="1" applyFill="1" applyBorder="1" applyAlignment="1">
      <x:alignment wrapText="1"/>
    </x:xf>
    <x:xf numFmtId="0" fontId="6" fillId="0" borderId="4" xfId="0" applyNumberFormat="1" applyFont="1" applyFill="1" applyBorder="1"/>
    <x:xf numFmtId="0" fontId="6" fillId="0" borderId="6" xfId="0" applyNumberFormat="1" applyFont="1" applyFill="1" applyBorder="1"/>
    <x:xf numFmtId="200" fontId="6" fillId="0" borderId="4" xfId="0" applyNumberFormat="1" applyFont="1" applyFill="1" applyBorder="1"/>
    <x:xf numFmtId="200" fontId="6" fillId="0" borderId="6" xfId="0" applyNumberFormat="1" applyFont="1" applyFill="1" applyBorder="1"/>
    <x:xf numFmtId="200" fontId="6" fillId="0" borderId="4" xfId="0" applyNumberFormat="1" applyFont="1" applyFill="1" applyBorder="1" applyAlignment="1">
      <x:alignment horizontal="right"/>
    </x:xf>
    <x:xf numFmtId="200" fontId="6" fillId="0" borderId="6" xfId="0" applyNumberFormat="1" applyFont="1" applyFill="1" applyBorder="1" applyAlignment="1">
      <x:alignment horizontal="right"/>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7"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8" xfId="0" applyNumberFormat="1" applyFont="1" applyFill="1" applyBorder="1"/>
    <x:xf numFmtId="0" fontId="7" fillId="7" borderId="6" xfId="0" applyNumberFormat="1" applyFont="1" applyFill="1" applyBorder="1"/>
    <x:xf numFmtId="0" fontId="7" fillId="7" borderId="1"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2"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5" fillId="2" borderId="0" xfId="0" applyNumberFormat="1" applyFont="1" applyFill="1" applyBorder="1"/>
    <x:xf numFmtId="0" fontId="5" fillId="2" borderId="9" xfId="0" applyNumberFormat="1" applyFont="1" applyFill="1" applyBorder="1"/>
    <x:xf numFmtId="0" fontId="5" fillId="2" borderId="10" xfId="0" applyNumberFormat="1" applyFont="1" applyFill="1" applyBorder="1"/>
    <x:xf numFmtId="0" fontId="5" fillId="2" borderId="11" xfId="0" applyNumberFormat="1" applyFont="1" applyFill="1" applyBorder="1"/>
    <x:xf numFmtId="0" fontId="5" fillId="2" borderId="9" xfId="0" applyNumberFormat="1" applyFont="1" applyFill="1" applyBorder="1" applyAlignment="1">
      <x:alignment wrapText="1"/>
    </x:xf>
    <x:xf numFmtId="0" fontId="5" fillId="2" borderId="10" xfId="0" applyNumberFormat="1" applyFont="1" applyFill="1" applyBorder="1" applyAlignment="1">
      <x:alignment wrapText="1"/>
    </x:xf>
    <x:xf numFmtId="0" fontId="5" fillId="2" borderId="11" xfId="0" applyNumberFormat="1" applyFont="1" applyFill="1" applyBorder="1" applyAlignment="1">
      <x:alignment wrapText="1"/>
    </x:xf>
    <x:xf numFmtId="0" fontId="5" fillId="2" borderId="9" xfId="0" applyNumberFormat="1" applyFont="1" applyFill="1" applyBorder="1" applyAlignment="1">
      <x:alignment vertical="center" wrapText="1"/>
    </x:xf>
    <x:xf numFmtId="0" fontId="5" fillId="2" borderId="10" xfId="0" applyNumberFormat="1" applyFont="1" applyFill="1" applyBorder="1" applyAlignment="1">
      <x:alignment vertical="center" wrapText="1"/>
    </x:xf>
    <x:xf numFmtId="0" fontId="5" fillId="2" borderId="11"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x:xf>
    <x:xf numFmtId="200" fontId="8" fillId="0" borderId="0" xfId="0" applyNumberFormat="1" applyFont="1" applyFill="1" applyBorder="1" applyAlignment="1">
      <x:alignment vertical="top"/>
    </x:xf>
    <x:xf numFmtId="0" fontId="5" fillId="2" borderId="0" xfId="0" applyNumberFormat="1" applyFont="1" applyFill="1" applyBorder="1" applyAlignment="1">
      <x:alignment wrapText="1"/>
    </x:xf>
    <x:xf numFmtId="0" fontId="9" fillId="2" borderId="0" xfId="0" applyNumberFormat="1" applyFont="1" applyFill="1" applyBorder="1"/>
    <x:xf numFmtId="0" fontId="5" fillId="6" borderId="6" xfId="0" applyNumberFormat="1" applyFont="1" applyFill="1" applyBorder="1"/>
    <x:xf numFmtId="0" fontId="5" fillId="6" borderId="12" xfId="0" applyNumberFormat="1" applyFont="1" applyFill="1" applyBorder="1"/>
    <x:xf numFmtId="0" fontId="5" fillId="6" borderId="5"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5" fillId="6" borderId="6"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5"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 xfId="0" applyNumberFormat="1" applyFont="1" applyFill="1" applyBorder="1" applyAlignment="1">
      <x:alignment wrapText="1"/>
    </x:xf>
    <x:xf numFmtId="0" fontId="5" fillId="6" borderId="6"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10" fillId="4" borderId="13" xfId="0" applyNumberFormat="1" applyFont="1" applyFill="1" applyBorder="1" applyAlignment="1">
      <x:alignment vertical="top" wrapText="1"/>
    </x:xf>
    <x:xf numFmtId="0" fontId="10" fillId="4" borderId="2" xfId="0" applyNumberFormat="1" applyFont="1" applyFill="1" applyBorder="1" applyAlignment="1">
      <x:alignment vertical="top" wrapText="1"/>
    </x:xf>
    <x:xf numFmtId="0" fontId="0" fillId="7" borderId="1" xfId="0" applyNumberFormat="1" applyFont="1" applyFill="1" applyBorder="1"/>
    <x:xf numFmtId="0" fontId="0" fillId="7" borderId="7" xfId="0" applyNumberFormat="1" applyFont="1" applyFill="1" applyBorder="1"/>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5" xfId="0" applyNumberFormat="1" applyFont="1" applyFill="1" applyBorder="1"/>
    <x:xf numFmtId="0" fontId="0" fillId="7" borderId="8" xfId="0" applyNumberFormat="1" applyFont="1" applyFill="1" applyBorder="1"/>
    <x:xf numFmtId="0" fontId="0" fillId="7" borderId="6" xfId="0" applyNumberFormat="1" applyFont="1" applyFill="1" applyBorder="1"/>
    <x:xf numFmtId="0" fontId="0" fillId="7" borderId="1"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2" xfId="0" applyNumberFormat="1" applyFont="1" applyFill="1" applyBorder="1" applyAlignment="1">
      <x:alignment wrapText="1"/>
    </x:xf>
    <x:xf numFmtId="0" fontId="0" fillId="7" borderId="3"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4"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7" borderId="6" xfId="0" applyNumberFormat="1" applyFont="1" applyFill="1" applyBorder="1" applyAlignment="1">
      <x:alignment vertical="top" wrapText="1"/>
    </x:xf>
  </x:cellXfs>
  <x:cellStyles count="1">
    <x:cellStyle name="Normal" xfId="0"/>
  </x:cellStyles>
  <x:dxfs count="5">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7d6743f5914718" /><Relationship Type="http://schemas.openxmlformats.org/officeDocument/2006/relationships/theme" Target="/xl/theme/theme1.xml" Id="R0a6eed2d2ded4af7" /><Relationship Type="http://schemas.microsoft.com/office/2022/11/relationships/FeaturePropertyBag" Target="/xl/featurePropertyBag/featurePropertyBag.xml" Id="Rb22578bc6e934c61" /><Relationship Type="http://schemas.openxmlformats.org/officeDocument/2006/relationships/sharedStrings" Target="/xl/sharedStrings.xml" Id="R2ad0f6746f57494f" /><Relationship Type="http://schemas.openxmlformats.org/officeDocument/2006/relationships/worksheet" Target="/xl/worksheets/sheet1.xml" Id="Ra4e1b52612ea4853" /><Relationship Type="http://schemas.openxmlformats.org/officeDocument/2006/relationships/worksheet" Target="/xl/worksheets/sheet2.xml" Id="Rbbe1df662fef4b42" /><Relationship Type="http://schemas.openxmlformats.org/officeDocument/2006/relationships/worksheet" Target="/xl/worksheets/sheet3.xml" Id="R1bffd927c25c4341" /><Relationship Type="http://schemas.openxmlformats.org/officeDocument/2006/relationships/worksheet" Target="/xl/worksheets/sheet4.xml" Id="Raca357df1db844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UndownloadedReferences" displayName="UndownloadedReferences" ref="A1:AD178" headerRowCount="1" totalsRowCount="0" totalsRowShown="0">
  <x:autoFilter ref="A1:AD178"/>
  <x:tableColumns count="30">
    <x:tableColumn id="1" name="#"/>
    <x:tableColumn id="2" name="Bib key"/>
    <x:tableColumn id="3" name="Title"/>
    <x:tableColumn id="4" name="Authors"/>
    <x:tableColumn id="5" name="Year"/>
    <x:tableColumn id="6" name="Venue"/>
    <x:tableColumn id="7" name="Publisher"/>
    <x:tableColumn id="8" name="Publication type"/>
    <x:tableColumn id="9" name="DOI"/>
    <x:tableColumn id="10" name="DOI URL"/>
    <x:tableColumn id="11" name="Abstract"/>
    <x:tableColumn id="12" name="Abstract availability"/>
    <x:tableColumn id="13" name="Abstract source"/>
    <x:tableColumn id="14" name="Keywords / topics"/>
    <x:tableColumn id="15" name="Cited by"/>
    <x:tableColumn id="16" name="Reference count"/>
    <x:tableColumn id="17" name="OA status"/>
    <x:tableColumn id="18" name="Is OA"/>
    <x:tableColumn id="19" name="License"/>
    <x:tableColumn id="20" name="PDF not downloaded reason"/>
    <x:tableColumn id="21" name="Original status"/>
    <x:tableColumn id="22" name="Verification confidence"/>
    <x:tableColumn id="23" name="Verification notes"/>
    <x:tableColumn id="24" name="Crossref URL"/>
    <x:tableColumn id="25" name="OpenAlex URL"/>
    <x:tableColumn id="26" name="Semantic Scholar URL"/>
    <x:tableColumn id="27" name="Original title"/>
    <x:tableColumn id="28" name="Original DOI"/>
    <x:tableColumn id="29" name="Original Bib type"/>
    <x:tableColumn id="30" name="Original notes"/>
  </x:tableColumns>
  <x:tableStyleInfo name="TableStyleMedium2" showFirstColumn="0" showLastColumn="0" showRowStripes="1" showColumnStripes="0"/>
</x:table>
</file>

<file path=xl/tables/table2.xml><?xml version="1.0" encoding="utf-8"?>
<x:table xmlns:x="http://schemas.openxmlformats.org/spreadsheetml/2006/main" id="2" name="AbstractReview" displayName="AbstractReview" ref="A1:K178" headerRowCount="1" totalsRowCount="0" totalsRowShown="0">
  <x:autoFilter ref="A1:K178"/>
  <x:tableColumns count="11">
    <x:tableColumn id="1" name="#"/>
    <x:tableColumn id="2" name="Title"/>
    <x:tableColumn id="3" name="DOI"/>
    <x:tableColumn id="4" name="Year"/>
    <x:tableColumn id="5" name="Venue"/>
    <x:tableColumn id="6" name="Verification confidence"/>
    <x:tableColumn id="7" name="Abstract availability"/>
    <x:tableColumn id="8" name="Abstract source"/>
    <x:tableColumn id="9" name="Abstract"/>
    <x:tableColumn id="10" name="Keywords / topics"/>
    <x:tableColumn id="11" name="Metadata link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e69e05d9f54b90" /></Relationships>
</file>

<file path=xl/worksheets/_rels/sheet3.xml.rels>&#65279;<?xml version="1.0" encoding="utf-8"?><Relationships xmlns="http://schemas.openxmlformats.org/package/2006/relationships"><Relationship Type="http://schemas.openxmlformats.org/officeDocument/2006/relationships/table" Target="/xl/tables/table2.xml" Id="R9a3f823f79ae4828"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4" hidden="0" customWidth="1"/>
    <x:col min="3" max="3" width="3" hidden="0" customWidth="1"/>
    <x:col min="4" max="4" width="44" hidden="0" customWidth="1"/>
    <x:col min="5" max="5" width="14" hidden="0" customWidth="1"/>
    <x:col min="6" max="6" width="14" hidden="0" customWidth="1"/>
    <x:col min="7" max="7" width="14" hidden="0" customWidth="1"/>
    <x:col min="8" max="8" width="14" hidden="0" customWidth="1"/>
  </x:cols>
  <x:sheetData>
    <x:row r="1" ht="32" customHeight="1">
      <x:c r="A1" s="3" t="str">
        <x:v>Undownloaded Reference Metadata Review</x:v>
      </x:c>
      <x:c r="B1" s="3"/>
      <x:c r="C1" s="3"/>
      <x:c r="D1" s="3"/>
      <x:c r="E1" s="3"/>
      <x:c r="F1" s="3"/>
      <x:c r="G1" s="3"/>
      <x:c r="H1" s="3"/>
    </x:row>
    <x:row r="2" ht="30" customHeight="1">
      <x:c r="A2" s="6" t="str">
        <x:v>All 177 bibliography entries for which a PDF was not retrieved; abstracts are source-provided and never inferred.</x:v>
      </x:c>
      <x:c r="B2" s="6"/>
      <x:c r="C2" s="6"/>
      <x:c r="D2" s="6"/>
      <x:c r="E2" s="6"/>
      <x:c r="F2" s="6"/>
      <x:c r="G2" s="6"/>
      <x:c r="H2" s="6"/>
    </x:row>
    <x:row r="4">
      <x:c r="A4" s="16" t="str">
        <x:v>Total records</x:v>
      </x:c>
      <x:c r="B4" s="28" t="n">
        <x:f>COUNTA('Records'!$A$2:$A$178)</x:f>
        <x:v>177</x:v>
      </x:c>
      <x:c r="D4" s="33" t="str">
        <x:v>Download-status group</x:v>
      </x:c>
      <x:c r="E4" s="34" t="str">
        <x:v>Count</x:v>
      </x:c>
    </x:row>
    <x:row r="5">
      <x:c r="A5" s="17" t="str">
        <x:v>Abstracts available</x:v>
      </x:c>
      <x:c r="B5" s="29" t="n">
        <x:f>COUNTIF('Records'!$L$2:$L$178,"Available")</x:f>
        <x:v>94</x:v>
      </x:c>
      <x:c r="D5" s="35" t="str">
        <x:v>Matched, but no lawful direct OA PDF</x:v>
      </x:c>
      <x:c r="E5" s="41" t="n">
        <x:f>COUNTIF('Records'!$U$2:$U$178,"matched_no_oa_pdf")</x:f>
        <x:v>70</x:v>
      </x:c>
    </x:row>
    <x:row r="6">
      <x:c r="A6" s="17" t="str">
        <x:v>High-confidence matches</x:v>
      </x:c>
      <x:c r="B6" s="29" t="n">
        <x:f>COUNTIF('Records'!$V$2:$V$178,"High")</x:f>
        <x:v>115</x:v>
      </x:c>
      <x:c r="D6" s="35" t="str">
        <x:v>Matched metadata/OA page, retrieval failed</x:v>
      </x:c>
      <x:c r="E6" s="41" t="n">
        <x:f>COUNTIF('Records'!$U$2:$U$178,"matched")</x:f>
        <x:v>40</x:v>
      </x:c>
    </x:row>
    <x:row r="7">
      <x:c r="A7" s="17" t="str">
        <x:v>Medium-confidence matches</x:v>
      </x:c>
      <x:c r="B7" s="29" t="n">
        <x:f>COUNTIF('Records'!$V$2:$V$178,"Medium")</x:f>
        <x:v>4</x:v>
      </x:c>
      <x:c r="D7" s="36" t="str">
        <x:v>Bibliographic record unresolved</x:v>
      </x:c>
      <x:c r="E7" s="42" t="n">
        <x:f>COUNTIF('Records'!$U$2:$U$178,"unresolved")</x:f>
        <x:v>67</x:v>
      </x:c>
    </x:row>
    <x:row r="8">
      <x:c r="A8" s="17" t="str">
        <x:v>Unverified records</x:v>
      </x:c>
      <x:c r="B8" s="29" t="n">
        <x:f>COUNTIF('Records'!$V$2:$V$178,"Unverified")</x:f>
        <x:v>58</x:v>
      </x:c>
    </x:row>
    <x:row r="9">
      <x:c r="A9" s="18" t="str">
        <x:v>Open-access records</x:v>
      </x:c>
      <x:c r="B9" s="30" t="n">
        <x:f>COUNTIF('Records'!$Q$2:$Q$178,"gold")+COUNTIF('Records'!$Q$2:$Q$178,"green")+COUNTIF('Records'!$Q$2:$Q$178,"hybrid")+COUNTIF('Records'!$Q$2:$Q$178,"bronze")+COUNTIF('Records'!$Q$2:$Q$178,"diamond")</x:f>
        <x:v>44</x:v>
      </x:c>
    </x:row>
    <x:row r="12">
      <x:c r="A12" s="44" t="str">
        <x:v>Interpretation</x:v>
      </x:c>
      <x:c r="B12" s="44"/>
      <x:c r="C12" s="44"/>
      <x:c r="D12" s="44"/>
      <x:c r="E12" s="44"/>
      <x:c r="F12" s="44"/>
      <x:c r="G12" s="44"/>
      <x:c r="H12" s="44"/>
    </x:row>
    <x:row r="13">
      <x:c r="A13" s="64" t="str">
        <x:v>“Unverified” does not mean nonexistent. It means the available bibliography text could not be matched confidently to Crossref, OpenAlex, or Semantic Scholar. Some entries are manuals, standards, product datasheets, documentation pages, books, or extension guides for which a scholarly abstract may not apply. Use the Records sheet for full metadata and source links; use the Abstracts sheet for a compact abstract-focused view.</x:v>
      </x:c>
      <x:c r="B13" s="65"/>
      <x:c r="C13" s="65"/>
      <x:c r="D13" s="65"/>
      <x:c r="E13" s="65"/>
      <x:c r="F13" s="65"/>
      <x:c r="G13" s="65"/>
      <x:c r="H13" s="66"/>
    </x:row>
    <x:row r="14">
      <x:c r="A14" s="67"/>
      <x:c r="B14" s="68"/>
      <x:c r="C14" s="68"/>
      <x:c r="D14" s="68"/>
      <x:c r="E14" s="68"/>
      <x:c r="F14" s="68"/>
      <x:c r="G14" s="68"/>
      <x:c r="H14" s="69"/>
    </x:row>
    <x:row r="15">
      <x:c r="A15" s="67"/>
      <x:c r="B15" s="68"/>
      <x:c r="C15" s="68"/>
      <x:c r="D15" s="68"/>
      <x:c r="E15" s="68"/>
      <x:c r="F15" s="68"/>
      <x:c r="G15" s="68"/>
      <x:c r="H15" s="69"/>
    </x:row>
    <x:row r="16">
      <x:c r="A16" s="67"/>
      <x:c r="B16" s="68"/>
      <x:c r="C16" s="68"/>
      <x:c r="D16" s="68"/>
      <x:c r="E16" s="68"/>
      <x:c r="F16" s="68"/>
      <x:c r="G16" s="68"/>
      <x:c r="H16" s="69"/>
    </x:row>
    <x:row r="17">
      <x:c r="A17" s="70"/>
      <x:c r="B17" s="71"/>
      <x:c r="C17" s="71"/>
      <x:c r="D17" s="71"/>
      <x:c r="E17" s="71"/>
      <x:c r="F17" s="71"/>
      <x:c r="G17" s="71"/>
      <x:c r="H17" s="72"/>
    </x:row>
  </x:sheetData>
  <x:mergeCells>
    <x:mergeCell ref="A1:H1"/>
    <x:mergeCell ref="A2:H2"/>
    <x:mergeCell ref="A12:H12"/>
    <x:mergeCell ref="A13: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45" hidden="0" customWidth="1"/>
    <x:col min="4" max="4" width="38" hidden="0" customWidth="1"/>
    <x:col min="5" max="5" width="9" hidden="0" customWidth="1"/>
    <x:col min="6" max="6" width="28" hidden="0" customWidth="1"/>
    <x:col min="7" max="7" width="22" hidden="0" customWidth="1"/>
    <x:col min="8" max="8" width="19" hidden="0" customWidth="1"/>
    <x:col min="9" max="9" width="27" hidden="0" customWidth="1"/>
    <x:col min="10" max="10" width="31" hidden="0" customWidth="1"/>
    <x:col min="11" max="11" width="70" hidden="0" customWidth="1"/>
    <x:col min="12" max="12" width="28" hidden="0" customWidth="1"/>
    <x:col min="13" max="13" width="16" hidden="0" customWidth="1"/>
    <x:col min="14" max="14" width="40" hidden="0" customWidth="1"/>
    <x:col min="15" max="15" width="11" hidden="0" customWidth="1"/>
    <x:col min="16" max="16" width="12" hidden="0" customWidth="1"/>
    <x:col min="17" max="17" width="12" hidden="0" customWidth="1"/>
    <x:col min="18" max="18" width="9" hidden="0" customWidth="1"/>
    <x:col min="19" max="19" width="30" hidden="0" customWidth="1"/>
    <x:col min="20" max="20" width="48" hidden="0" customWidth="1"/>
    <x:col min="21" max="21" width="18" hidden="0" customWidth="1"/>
    <x:col min="22" max="22" width="18" hidden="0" customWidth="1"/>
    <x:col min="23" max="23" width="34" hidden="0" customWidth="1"/>
    <x:col min="24" max="24" width="31" hidden="0" customWidth="1"/>
    <x:col min="25" max="25" width="31" hidden="0" customWidth="1"/>
    <x:col min="26" max="26" width="31" hidden="0" customWidth="1"/>
    <x:col min="27" max="27" width="45" hidden="0" customWidth="1"/>
    <x:col min="28" max="28" width="27" hidden="0" customWidth="1"/>
    <x:col min="29" max="29" width="17" hidden="0" customWidth="1"/>
    <x:col min="30" max="30" width="36" hidden="0" customWidth="1"/>
  </x:cols>
  <x:sheetData>
    <x:row r="1" ht="34" customHeight="1">
      <x:c r="A1" s="81" t="str">
        <x:v>#</x:v>
      </x:c>
      <x:c r="B1" s="82" t="str">
        <x:v>Bib key</x:v>
      </x:c>
      <x:c r="C1" s="82" t="str">
        <x:v>Title</x:v>
      </x:c>
      <x:c r="D1" s="82" t="str">
        <x:v>Authors</x:v>
      </x:c>
      <x:c r="E1" s="82" t="str">
        <x:v>Year</x:v>
      </x:c>
      <x:c r="F1" s="82" t="str">
        <x:v>Venue</x:v>
      </x:c>
      <x:c r="G1" s="82" t="str">
        <x:v>Publisher</x:v>
      </x:c>
      <x:c r="H1" s="82" t="str">
        <x:v>Publication type</x:v>
      </x:c>
      <x:c r="I1" s="82" t="str">
        <x:v>DOI</x:v>
      </x:c>
      <x:c r="J1" s="82" t="str">
        <x:v>DOI URL</x:v>
      </x:c>
      <x:c r="K1" s="82" t="str">
        <x:v>Abstract</x:v>
      </x:c>
      <x:c r="L1" s="82" t="str">
        <x:v>Abstract availability</x:v>
      </x:c>
      <x:c r="M1" s="82" t="str">
        <x:v>Abstract source</x:v>
      </x:c>
      <x:c r="N1" s="82" t="str">
        <x:v>Keywords / topics</x:v>
      </x:c>
      <x:c r="O1" s="82" t="str">
        <x:v>Cited by</x:v>
      </x:c>
      <x:c r="P1" s="82" t="str">
        <x:v>Reference count</x:v>
      </x:c>
      <x:c r="Q1" s="82" t="str">
        <x:v>OA status</x:v>
      </x:c>
      <x:c r="R1" s="82" t="str">
        <x:v>Is OA</x:v>
      </x:c>
      <x:c r="S1" s="82" t="str">
        <x:v>License</x:v>
      </x:c>
      <x:c r="T1" s="82" t="str">
        <x:v>PDF not downloaded reason</x:v>
      </x:c>
      <x:c r="U1" s="82" t="str">
        <x:v>Original status</x:v>
      </x:c>
      <x:c r="V1" s="82" t="str">
        <x:v>Verification confidence</x:v>
      </x:c>
      <x:c r="W1" s="82" t="str">
        <x:v>Verification notes</x:v>
      </x:c>
      <x:c r="X1" s="82" t="str">
        <x:v>Crossref URL</x:v>
      </x:c>
      <x:c r="Y1" s="82" t="str">
        <x:v>OpenAlex URL</x:v>
      </x:c>
      <x:c r="Z1" s="82" t="str">
        <x:v>Semantic Scholar URL</x:v>
      </x:c>
      <x:c r="AA1" s="82" t="str">
        <x:v>Original title</x:v>
      </x:c>
      <x:c r="AB1" s="82" t="str">
        <x:v>Original DOI</x:v>
      </x:c>
      <x:c r="AC1" s="82" t="str">
        <x:v>Original Bib type</x:v>
      </x:c>
      <x:c r="AD1" s="83" t="str">
        <x:v>Original notes</x:v>
      </x:c>
    </x:row>
    <x:row r="2" ht="48" customHeight="1">
      <x:c r="A2" s="89" t="n">
        <x:v>1</x:v>
      </x:c>
      <x:c r="B2" s="86" t="str">
        <x:v>wang2006wireless</x:v>
      </x:c>
      <x:c r="C2" s="88" t="str">
        <x:v>Wireless sensors in agriculture and food industry—Recent development and future perspective</x:v>
      </x:c>
      <x:c r="D2" s="88" t="str">
        <x:v>Ning Wang; Naiqian Zhang; Maohua Wang</x:v>
      </x:c>
      <x:c r="E2" s="89" t="n">
        <x:v>2006</x:v>
      </x:c>
      <x:c r="F2" s="88" t="str">
        <x:v>Computers and Electronics in Agriculture</x:v>
      </x:c>
      <x:c r="G2" s="88" t="str">
        <x:v>Elsevier BV</x:v>
      </x:c>
      <x:c r="H2" s="88" t="str">
        <x:v>journal-article</x:v>
      </x:c>
      <x:c r="I2" s="86" t="str">
        <x:v>10.1016/j.compag.2005.09.003</x:v>
      </x:c>
      <x:c r="J2" s="86" t="str">
        <x:v>https://doi.org/10.1016/j.compag.2005.09.003</x:v>
      </x:c>
      <x:c r="K2" s="88" t="str"/>
      <x:c r="L2" s="88" t="str">
        <x:v>Not found in Crossref/OpenAlex/Semantic Scholar</x:v>
      </x:c>
      <x:c r="M2" s="88" t="str"/>
      <x:c r="N2" s="88" t="str">
        <x:v>Business Strategies and Innovation; Greenhouse Technology and Climate Control; Engineering</x:v>
      </x:c>
      <x:c r="O2" s="90" t="n">
        <x:v>776</x:v>
      </x:c>
      <x:c r="P2" s="90" t="n">
        <x:v>60</x:v>
      </x:c>
      <x:c r="Q2" s="86" t="str">
        <x:v>closed</x:v>
      </x:c>
      <x:c r="R2" s="87" t="b">
        <x:v>0</x:v>
      </x:c>
      <x:c r="S2" s="88" t="str">
        <x:v>https://www.elsevier.com/tdm/userlicense/1.0/</x:v>
      </x:c>
      <x:c r="T2" s="88" t="str">
        <x:v>Publication matched, but no lawful direct open-access PDF was found</x:v>
      </x:c>
      <x:c r="U2" s="88" t="str">
        <x:v>matched_no_oa_pdf</x:v>
      </x:c>
      <x:c r="V2" s="88" t="str">
        <x:v>High</x:v>
      </x:c>
      <x:c r="W2" s="88" t="str">
        <x:v>DOI resolved in Crossref</x:v>
      </x:c>
      <x:c r="X2" s="88" t="str">
        <x:v>https://doi.org/10.1016/j.compag.2005.09.003</x:v>
      </x:c>
      <x:c r="Y2" s="88" t="str">
        <x:v>https://openalex.org/W1969422238</x:v>
      </x:c>
      <x:c r="Z2" s="88" t="str">
        <x:v>https://www.semanticscholar.org/paper/dbff100467b27e36c564f68850669b7aa803198f</x:v>
      </x:c>
      <x:c r="AA2" s="88" t="str">
        <x:v>Wireless sensors in agriculture and food industry: Recent development and future perspective</x:v>
      </x:c>
      <x:c r="AB2" s="88" t="str">
        <x:v>10.1016/j.compag.2005.09.003</x:v>
      </x:c>
      <x:c r="AC2" s="88" t="str">
        <x:v>article</x:v>
      </x:c>
      <x:c r="AD2" s="88" t="str"/>
    </x:row>
    <x:row r="3" ht="48" customHeight="1">
      <x:c r="A3" s="89" t="n">
        <x:v>2</x:v>
      </x:c>
      <x:c r="B3" s="86" t="str">
        <x:v>parhami2010computer</x:v>
      </x:c>
      <x:c r="C3" s="88" t="str">
        <x:v>Computer arithmetic: Algorithms and hardware designs</x:v>
      </x:c>
      <x:c r="D3" s="88" t="str">
        <x:v>Behrooz Parhami</x:v>
      </x:c>
      <x:c r="E3" s="89" t="n">
        <x:v>2000</x:v>
      </x:c>
      <x:c r="F3" s="88" t="str">
        <x:v>Computers &amp;amp; Mathematics with Applications</x:v>
      </x:c>
      <x:c r="G3" s="88" t="str">
        <x:v>Elsevier BV</x:v>
      </x:c>
      <x:c r="H3" s="88" t="str">
        <x:v>journal-article</x:v>
      </x:c>
      <x:c r="I3" s="86" t="str">
        <x:v>10.1016/s0898-1221(00)90051-8</x:v>
      </x:c>
      <x:c r="J3" s="86" t="str">
        <x:v>https://doi.org/10.1016/s0898-1221(00)90051-8</x:v>
      </x:c>
      <x:c r="K3" s="88" t="str">
        <x:v>Ideal for graduate and senior undergraduate courses in computer arithmetic and advanced digital design, Computer Arithmetic: Algorithms and Hardware Designs, Second Edition, provides a balanced, comprehensive treatment of computer arithmetic. It covers topics in arithmetic unit design and circuit implementation that complement the architectural and algorithmic speedup techniques used in high-performance computer architecture and parallel processing. Using a unified and consistent framework, the text begins with number representation and proceeds through basic arithmetic operations, floating-point arithmetic, and function evaluation methods. Later chapters cover broad design and implementation topics-including techniques for high-throughput, low-power, fault-tolerant, and reconfigurable arithmetic. An appendix provides a historical view of the field and speculates on its future.An indispensable resource for instruction, professional development, and research, Computer Arithmetic: Algorithms and Hardware Designs, Second Edition, combines broad coverage of the underlying theories of computer arithmetic with numerous examples of practical designs, worked-out examples, and a large collection of meaningful problems. This second edition includes a new chapter on reconfigurable arithmetic, in order to address the fact that arithmetic functions are increasingly being implemented on field-programmable gate arrays (FPGAs) and FPGA-like configurable devices. Updated and thoroughly revised, the book offers new and expanded coverage of saturating adders and multipliers, truncated multipliers, fused multiply-add units, overlapped quotient digit selection, bipartite and multipartite tables, reversible logic, dot notation, modular arithmetic, Montgomery modular reduction, division by constants, IEEE floating-point standard formats, and interval arithmetic.Features:* Divided into 28 lecture-size chapters * Emphasizes both the underlying theories of computer arithmetic and actual hardware designs * Carefully links computer arithmetic to other subfields of computer engineering * Includes 717 end-of-chapter problems ranging in complexity from simple exercises to mini-projects * Incorporates many examples of practical designs * Uses consistent standardized notation throughout * Instructor's manual includes solutions to text problems * An author-maintained website http://www.ece.ucsb.edu/~parhami/text_comp_arit.htm contains instructor resources, including complete lecture slides</x:v>
      </x:c>
      <x:c r="L3" s="88" t="str">
        <x:v>Available</x:v>
      </x:c>
      <x:c r="M3" s="88" t="str">
        <x:v>OpenAlex</x:v>
      </x:c>
      <x:c r="N3" s="88" t="str">
        <x:v>Quantum Computing Algorithms and Architecture</x:v>
      </x:c>
      <x:c r="O3" s="90" t="n">
        <x:v>2</x:v>
      </x:c>
      <x:c r="P3" s="90" t="n">
        <x:v>0</x:v>
      </x:c>
      <x:c r="Q3" s="86" t="str">
        <x:v>closed</x:v>
      </x:c>
      <x:c r="R3" s="87" t="b">
        <x:v>0</x:v>
      </x:c>
      <x:c r="S3" s="88" t="str">
        <x:v>https://www.elsevier.com/tdm/userlicense/1.0/; https://www.elsevier.com/open-access/userlicense/1.0/</x:v>
      </x:c>
      <x:c r="T3" s="88" t="str">
        <x:v>Publication matched, but no lawful direct open-access PDF was found</x:v>
      </x:c>
      <x:c r="U3" s="88" t="str">
        <x:v>matched_no_oa_pdf</x:v>
      </x:c>
      <x:c r="V3" s="88" t="str">
        <x:v>High</x:v>
      </x:c>
      <x:c r="W3" s="88" t="str">
        <x:v>Crossref title match 100%</x:v>
      </x:c>
      <x:c r="X3" s="88" t="str">
        <x:v>https://doi.org/10.1016/s0898-1221(00)90051-8</x:v>
      </x:c>
      <x:c r="Y3" s="88" t="str">
        <x:v>https://openalex.org/W1584008964</x:v>
      </x:c>
      <x:c r="Z3" s="88" t="str"/>
      <x:c r="AA3" s="88" t="str">
        <x:v>Computer Arithmetic: Algorithms and Hardware Designs</x:v>
      </x:c>
      <x:c r="AB3" s="88" t="str"/>
      <x:c r="AC3" s="88" t="str">
        <x:v>book</x:v>
      </x:c>
      <x:c r="AD3" s="88" t="str"/>
    </x:row>
    <x:row r="4" ht="48" customHeight="1">
      <x:c r="A4" s="89" t="n">
        <x:v>3</x:v>
      </x:c>
      <x:c r="B4" s="86" t="str">
        <x:v>jin2025productivity</x:v>
      </x:c>
      <x:c r="C4" s="88" t="str">
        <x:v>Efficient productivity prediction model based on edge data compression in smart farms</x:v>
      </x:c>
      <x:c r="D4" s="88" t="str">
        <x:v>Peng Jin; Wenshuang Du; Wenquan Jin</x:v>
      </x:c>
      <x:c r="E4" s="89" t="n">
        <x:v>2025</x:v>
      </x:c>
      <x:c r="F4" s="88" t="str">
        <x:v>Smart Agricultural Technology</x:v>
      </x:c>
      <x:c r="G4" s="88" t="str">
        <x:v>Elsevier BV</x:v>
      </x:c>
      <x:c r="H4" s="88" t="str">
        <x:v>journal-article</x:v>
      </x:c>
      <x:c r="I4" s="86" t="str">
        <x:v>10.1016/j.atech.2025.101242</x:v>
      </x:c>
      <x:c r="J4" s="86" t="str">
        <x:v>https://doi.org/10.1016/j.atech.2025.101242</x:v>
      </x:c>
      <x:c r="K4" s="88" t="str">
        <x:v>Amid escalating global farmland degradation alongside rising food demand. Smart farms are playing an increasingly vital role as a key approach to enhancing crop productivity. By integrating Internet of Things (IoT) devices with edge computing, smart farms significantly improve real-time data processing and decision-making capabilities, thereby enhancing agricultural productivity. However, existing smart farms often face challenges, such as inefficiencies and performance bottlenecks, due to the limitations of traditional cloud computing architectures. For providing solutions to the problems existing in current smart farms, such as excessive energy consumption, and redundant data transmission, this paper proposes an adaptive optimization strategy based on priority scheduling and multi-source information fusion. This strategy integrates lightweight edge models and region-aware clippings and compression techniques to reduce data transmission while retaining key agronomic features. Furthermore, the strategy's multi-dimensional resource-aware scheduling and optimized network multiplexing significantly enhance the efficiency of data acquisition and transmission. Meanwhile, a cloud-edge collaborative decision-making model is adopted to accurately analyze crop maturity through real-time processing of heterogeneous data. Experimental results show that under minimal packet loss, the system significantly improves data transmission performance and reasoning reliability. Even under high compression conditions, the precision loss remains at a relatively low level. This study effectively balances data efficiency and analytical precision through advanced edge intelligence, showcasing its feasibility and application potential in resource-constrained agricultural settings. The proposed approach offers a novel solution for precision agriculture, contributing to global food security and sustainable development.</x:v>
      </x:c>
      <x:c r="L4" s="88" t="str">
        <x:v>Available</x:v>
      </x:c>
      <x:c r="M4" s="88" t="str">
        <x:v>OpenAlex</x:v>
      </x:c>
      <x:c r="N4" s="88" t="str">
        <x:v>Smart Agriculture and AI; Food Supply Chain Traceability</x:v>
      </x:c>
      <x:c r="O4" s="90" t="n">
        <x:v>7</x:v>
      </x:c>
      <x:c r="P4" s="90" t="n">
        <x:v>58</x:v>
      </x:c>
      <x:c r="Q4" s="86" t="str">
        <x:v>gold</x:v>
      </x:c>
      <x:c r="R4" s="87" t="b">
        <x:v>1</x:v>
      </x:c>
      <x:c r="S4" s="88" t="str">
        <x:v>https://www.elsevier.com/tdm/userlicense/1.0/; https://www.elsevier.com/legal/tdmrep-license; http://creativecommons.org/licenses/by/4.0/</x:v>
      </x:c>
      <x:c r="T4" s="88" t="str">
        <x:v>Publication matched; an OA landing page or metadata record was found, but no downloadable PDF was retrieved</x:v>
      </x:c>
      <x:c r="U4" s="88" t="str">
        <x:v>matched</x:v>
      </x:c>
      <x:c r="V4" s="88" t="str">
        <x:v>High</x:v>
      </x:c>
      <x:c r="W4" s="88" t="str">
        <x:v>DOI resolved in Crossref</x:v>
      </x:c>
      <x:c r="X4" s="88" t="str">
        <x:v>https://doi.org/10.1016/j.atech.2025.101242</x:v>
      </x:c>
      <x:c r="Y4" s="88" t="str">
        <x:v>https://openalex.org/W4413049772</x:v>
      </x:c>
      <x:c r="Z4" s="88" t="str">
        <x:v>https://www.semanticscholar.org/paper/62c9115ea0b02a8c327f21b1d5c807275a2dfa83</x:v>
      </x:c>
      <x:c r="AA4" s="88" t="str">
        <x:v>Efficient productivity prediction model based on edge data compression in smart farms</x:v>
      </x:c>
      <x:c r="AB4" s="88" t="str">
        <x:v>10.1016/j.atech.2025.101242</x:v>
      </x:c>
      <x:c r="AC4" s="88" t="str">
        <x:v>article</x:v>
      </x:c>
      <x:c r="AD4" s="88" t="str">
        <x:v>Open-access landing page found, but no direct PDF URL</x:v>
      </x:c>
    </x:row>
    <x:row r="5" ht="48" customHeight="1">
      <x:c r="A5" s="89" t="n">
        <x:v>4</x:v>
      </x:c>
      <x:c r="B5" s="86" t="str">
        <x:v>amraouy2025ssi</x:v>
      </x:c>
      <x:c r="C5" s="88" t="str">
        <x:v>A blockchain- and self-sovereign identity-based collaborative framework for secure and verifiable cross-organizational data sharing in smart irrigation</x:v>
      </x:c>
      <x:c r="D5" s="88" t="str">
        <x:v>Okacha Amraouy; Mohammed Benbrahim; Mohammed Nabil Kabbaj</x:v>
      </x:c>
      <x:c r="E5" s="89" t="n">
        <x:v>2025</x:v>
      </x:c>
      <x:c r="F5" s="88" t="str">
        <x:v>Smart Agricultural Technology</x:v>
      </x:c>
      <x:c r="G5" s="88" t="str">
        <x:v>Elsevier BV</x:v>
      </x:c>
      <x:c r="H5" s="88" t="str">
        <x:v>journal-article</x:v>
      </x:c>
      <x:c r="I5" s="86" t="str">
        <x:v>10.1016/j.atech.2025.101654</x:v>
      </x:c>
      <x:c r="J5" s="86" t="str">
        <x:v>https://doi.org/10.1016/j.atech.2025.101654</x:v>
      </x:c>
      <x:c r="K5"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L5" s="88" t="str">
        <x:v>Available</x:v>
      </x:c>
      <x:c r="M5" s="88" t="str">
        <x:v>OpenAlex</x:v>
      </x:c>
      <x:c r="N5" s="88" t="str">
        <x:v>Blockchain Technology Applications and Security; Smart Agriculture and AI; IoT and Edge/Fog Computing</x:v>
      </x:c>
      <x:c r="O5" s="90" t="n">
        <x:v>4</x:v>
      </x:c>
      <x:c r="P5" s="90" t="n">
        <x:v>106</x:v>
      </x:c>
      <x:c r="Q5" s="86" t="str">
        <x:v>gold</x:v>
      </x:c>
      <x:c r="R5" s="87" t="b">
        <x:v>1</x:v>
      </x:c>
      <x:c r="S5" s="88" t="str">
        <x:v>https://www.elsevier.com/tdm/userlicense/1.0/; https://www.elsevier.com/legal/tdmrep-license; http://creativecommons.org/licenses/by-nc-nd/4.0/</x:v>
      </x:c>
      <x:c r="T5" s="88" t="str">
        <x:v>Publication matched; an OA landing page or metadata record was found, but no downloadable PDF was retrieved</x:v>
      </x:c>
      <x:c r="U5" s="88" t="str">
        <x:v>matched</x:v>
      </x:c>
      <x:c r="V5" s="88" t="str">
        <x:v>High</x:v>
      </x:c>
      <x:c r="W5" s="88" t="str">
        <x:v>DOI resolved in Crossref</x:v>
      </x:c>
      <x:c r="X5" s="88" t="str">
        <x:v>https://doi.org/10.1016/j.atech.2025.101654</x:v>
      </x:c>
      <x:c r="Y5" s="88" t="str">
        <x:v>https://openalex.org/W4416451026</x:v>
      </x:c>
      <x:c r="Z5" s="88" t="str">
        <x:v>https://www.semanticscholar.org/paper/1a5653e447f1df9cee9400c6c082aecff7fff0a9</x:v>
      </x:c>
      <x:c r="AA5" s="88" t="str">
        <x:v>A blockchain- and self-sovereign identity-based collaborative framework for secure and verifiable cross-organizational data sharing in smart irrigation</x:v>
      </x:c>
      <x:c r="AB5" s="88" t="str">
        <x:v>10.1016/j.atech.2025.101654</x:v>
      </x:c>
      <x:c r="AC5" s="88" t="str">
        <x:v>article</x:v>
      </x:c>
      <x:c r="AD5" s="88" t="str">
        <x:v>Open-access landing page found, but no direct PDF URL</x:v>
      </x:c>
    </x:row>
    <x:row r="6" ht="48" customHeight="1">
      <x:c r="A6" s="89" t="n">
        <x:v>5</x:v>
      </x:c>
      <x:c r="B6" s="86" t="str">
        <x:v>chen2025compression</x:v>
      </x:c>
      <x:c r="C6" s="88" t="str">
        <x:v>A Necessary and Sufficient Condition for the Liveness of Normal Nets</x:v>
      </x:c>
      <x:c r="D6" s="88" t="str">
        <x:v>G. Liu; C. Jiang; D. Y. Chao</x:v>
      </x:c>
      <x:c r="E6" s="89" t="n">
        <x:v>2009</x:v>
      </x:c>
      <x:c r="F6" s="88" t="str">
        <x:v>The Computer Journal</x:v>
      </x:c>
      <x:c r="G6" s="88" t="str">
        <x:v>Oxford University Press (OUP)</x:v>
      </x:c>
      <x:c r="H6" s="88" t="str">
        <x:v>journal-article</x:v>
      </x:c>
      <x:c r="I6" s="86" t="str">
        <x:v>10.1093/comjnl/bxp118</x:v>
      </x:c>
      <x:c r="J6" s="86" t="str">
        <x:v>https://doi.org/10.1093/comjnl/bxp118</x:v>
      </x:c>
      <x:c r="K6" s="88" t="str">
        <x:v>This paper gives a necessary and sufficient condition for the liveness of normal nets, i.e. a normal net with a given initial marking is live if and only if it is structurally repetitive and each minimal siphon is marked in any reachable marking. Furthermore, it is proved that a normal net is structurally live if and only if it is structurally repetitive. Finally, we prove that a weakly persistent net, which is a special normal net, is live for a given initial marking if and only if it is structurally repetitive and each minimal siphon is marked in the initial marking. That is to say, the liveness of weakly persistent nets can be decided by the net structure and the initial marking only.</x:v>
      </x:c>
      <x:c r="L6" s="88" t="str">
        <x:v>Available</x:v>
      </x:c>
      <x:c r="M6" s="88" t="str">
        <x:v>OpenAlex</x:v>
      </x:c>
      <x:c r="N6" s="88" t="str">
        <x:v>Petri Nets in System Modeling; Formal Methods in Verification; Real-Time Systems Scheduling; Mathematics; Computer Science</x:v>
      </x:c>
      <x:c r="O6" s="90" t="n">
        <x:v>12</x:v>
      </x:c>
      <x:c r="P6" s="90" t="n">
        <x:v>0</x:v>
      </x:c>
      <x:c r="Q6" s="86" t="str">
        <x:v>closed</x:v>
      </x:c>
      <x:c r="R6" s="87" t="b">
        <x:v>0</x:v>
      </x:c>
      <x:c r="S6" s="88" t="str"/>
      <x:c r="T6" s="88" t="str">
        <x:v>Publication matched, but no lawful direct open-access PDF was found</x:v>
      </x:c>
      <x:c r="U6" s="88" t="str">
        <x:v>matched_no_oa_pdf</x:v>
      </x:c>
      <x:c r="V6" s="88" t="str">
        <x:v>High</x:v>
      </x:c>
      <x:c r="W6" s="88" t="str">
        <x:v>DOI resolved in Crossref</x:v>
      </x:c>
      <x:c r="X6" s="88" t="str">
        <x:v>https://doi.org/10.1093/comjnl/bxp118</x:v>
      </x:c>
      <x:c r="Y6" s="88" t="str">
        <x:v>https://openalex.org/W2117670924</x:v>
      </x:c>
      <x:c r="Z6" s="88" t="str">
        <x:v>https://www.semanticscholar.org/paper/48474a8bde2f59274a0e882742891662331c0141</x:v>
      </x:c>
      <x:c r="AA6" s="88" t="str">
        <x:v>An Efficient Lossless Compression Algorithm for Periodic Data in Wireless Sensor Networks</x:v>
      </x:c>
      <x:c r="AB6" s="88" t="str">
        <x:v>10.1093/comjnl/bxp118</x:v>
      </x:c>
      <x:c r="AC6" s="88" t="str">
        <x:v>article</x:v>
      </x:c>
      <x:c r="AD6" s="88" t="str"/>
    </x:row>
    <x:row r="7" ht="48" customHeight="1">
      <x:c r="A7" s="89" t="n">
        <x:v>6</x:v>
      </x:c>
      <x:c r="B7" s="86" t="str">
        <x:v>mcbratney2005future</x:v>
      </x:c>
      <x:c r="C7" s="88" t="str">
        <x:v>Future Directions of Precision Agriculture</x:v>
      </x:c>
      <x:c r="D7" s="88" t="str">
        <x:v>Alex McBratney; Brett Whelan; Tihomir Ancev; Johan Bouma</x:v>
      </x:c>
      <x:c r="E7" s="89" t="n">
        <x:v>2005</x:v>
      </x:c>
      <x:c r="F7" s="88" t="str">
        <x:v>Precision Agriculture</x:v>
      </x:c>
      <x:c r="G7" s="88" t="str">
        <x:v>Springer Science and Business Media LLC</x:v>
      </x:c>
      <x:c r="H7" s="88" t="str">
        <x:v>journal-article</x:v>
      </x:c>
      <x:c r="I7" s="86" t="str">
        <x:v>10.1007/s11119-005-0681-8</x:v>
      </x:c>
      <x:c r="J7" s="86" t="str">
        <x:v>https://doi.org/10.1007/s11119-005-0681-8</x:v>
      </x:c>
      <x:c r="K7" s="88" t="str"/>
      <x:c r="L7" s="88" t="str">
        <x:v>Not found in Crossref/OpenAlex/Semantic Scholar</x:v>
      </x:c>
      <x:c r="M7" s="88" t="str"/>
      <x:c r="N7" s="88" t="str">
        <x:v>Smart Agriculture and AI; Remote Sensing in Agriculture; Food Supply Chain Traceability; Business</x:v>
      </x:c>
      <x:c r="O7" s="90" t="n">
        <x:v>626</x:v>
      </x:c>
      <x:c r="P7" s="90" t="n">
        <x:v>36</x:v>
      </x:c>
      <x:c r="Q7" s="86" t="str">
        <x:v>closed</x:v>
      </x:c>
      <x:c r="R7" s="87" t="b">
        <x:v>0</x:v>
      </x:c>
      <x:c r="S7" s="88" t="str">
        <x:v>http://www.springer.com/tdm</x:v>
      </x:c>
      <x:c r="T7" s="88" t="str">
        <x:v>Publication matched, but no lawful direct open-access PDF was found</x:v>
      </x:c>
      <x:c r="U7" s="88" t="str">
        <x:v>matched_no_oa_pdf</x:v>
      </x:c>
      <x:c r="V7" s="88" t="str">
        <x:v>High</x:v>
      </x:c>
      <x:c r="W7" s="88" t="str">
        <x:v>DOI resolved in Crossref</x:v>
      </x:c>
      <x:c r="X7" s="88" t="str">
        <x:v>https://doi.org/10.1007/s11119-005-0681-8</x:v>
      </x:c>
      <x:c r="Y7" s="88" t="str">
        <x:v>https://openalex.org/W2041137640</x:v>
      </x:c>
      <x:c r="Z7" s="88" t="str">
        <x:v>https://www.semanticscholar.org/paper/ca26e27de601999dd60284f201727d1b46725f6a</x:v>
      </x:c>
      <x:c r="AA7" s="88" t="str">
        <x:v>Future directions of precision agriculture</x:v>
      </x:c>
      <x:c r="AB7" s="88" t="str">
        <x:v>10.1007/s11119-005-0681-8</x:v>
      </x:c>
      <x:c r="AC7" s="88" t="str">
        <x:v>article</x:v>
      </x:c>
      <x:c r="AD7" s="88" t="str"/>
    </x:row>
    <x:row r="8" ht="48" customHeight="1">
      <x:c r="A8" s="89" t="n">
        <x:v>7</x:v>
      </x:c>
      <x:c r="B8" s="86" t="str">
        <x:v>zhang2002precision</x:v>
      </x:c>
      <x:c r="C8" s="88" t="str">
        <x:v>Precision agriculture—a worldwide overview</x:v>
      </x:c>
      <x:c r="D8" s="88" t="str">
        <x:v>Naiqian Zhang; Maohua Wang; Ning Wang</x:v>
      </x:c>
      <x:c r="E8" s="89" t="n">
        <x:v>2002</x:v>
      </x:c>
      <x:c r="F8" s="88" t="str">
        <x:v>Computers and Electronics in Agriculture</x:v>
      </x:c>
      <x:c r="G8" s="88" t="str">
        <x:v>Elsevier BV</x:v>
      </x:c>
      <x:c r="H8" s="88" t="str">
        <x:v>journal-article</x:v>
      </x:c>
      <x:c r="I8" s="86" t="str">
        <x:v>10.1016/s0168-1699(02)00096-0</x:v>
      </x:c>
      <x:c r="J8" s="86" t="str">
        <x:v>https://doi.org/10.1016/s0168-1699(02)00096-0</x:v>
      </x:c>
      <x:c r="K8" s="88" t="str"/>
      <x:c r="L8" s="88" t="str">
        <x:v>Not found in Crossref/OpenAlex/Semantic Scholar</x:v>
      </x:c>
      <x:c r="M8" s="88" t="str"/>
      <x:c r="N8" s="88" t="str">
        <x:v>Smart Agriculture and AI; Remote Sensing and Land Use; Remote Sensing in Agriculture; Business</x:v>
      </x:c>
      <x:c r="O8" s="90" t="n">
        <x:v>979</x:v>
      </x:c>
      <x:c r="P8" s="90" t="n">
        <x:v>95</x:v>
      </x:c>
      <x:c r="Q8" s="86" t="str">
        <x:v>closed</x:v>
      </x:c>
      <x:c r="R8" s="87" t="b">
        <x:v>0</x:v>
      </x:c>
      <x:c r="S8" s="88" t="str">
        <x:v>https://www.elsevier.com/tdm/userlicense/1.0/</x:v>
      </x:c>
      <x:c r="T8" s="88" t="str">
        <x:v>Publication matched, but no lawful direct open-access PDF was found</x:v>
      </x:c>
      <x:c r="U8" s="88" t="str">
        <x:v>matched_no_oa_pdf</x:v>
      </x:c>
      <x:c r="V8" s="88" t="str">
        <x:v>High</x:v>
      </x:c>
      <x:c r="W8" s="88" t="str">
        <x:v>DOI resolved in Crossref</x:v>
      </x:c>
      <x:c r="X8" s="88" t="str">
        <x:v>https://doi.org/10.1016/s0168-1699(02)00096-0</x:v>
      </x:c>
      <x:c r="Y8" s="88" t="str">
        <x:v>https://openalex.org/W2011325105</x:v>
      </x:c>
      <x:c r="Z8" s="88" t="str">
        <x:v>https://www.semanticscholar.org/paper/3e2780df51017956e81f700ffb0225785c3ba90c</x:v>
      </x:c>
      <x:c r="AA8" s="88" t="str">
        <x:v>Precision agriculture: a worldwide overview</x:v>
      </x:c>
      <x:c r="AB8" s="88" t="str">
        <x:v>10.1016/s0168-1699(02)00096-0</x:v>
      </x:c>
      <x:c r="AC8" s="88" t="str">
        <x:v>article</x:v>
      </x:c>
      <x:c r="AD8" s="88" t="str"/>
    </x:row>
    <x:row r="9" ht="48" customHeight="1">
      <x:c r="A9" s="89" t="n">
        <x:v>8</x:v>
      </x:c>
      <x:c r="B9" s="86" t="str">
        <x:v>bogena2010soil</x:v>
      </x:c>
      <x:c r="C9" s="88" t="str">
        <x:v>Evaluation of a low-cost soil water content sensor for wireless network applications</x:v>
      </x:c>
      <x:c r="D9" s="88" t="str">
        <x:v>H.R. Bogena; J.A. Huisman; C. Oberdörster; H. Vereecken</x:v>
      </x:c>
      <x:c r="E9" s="89" t="n">
        <x:v>2007</x:v>
      </x:c>
      <x:c r="F9" s="88" t="str">
        <x:v>Journal of Hydrology</x:v>
      </x:c>
      <x:c r="G9" s="88" t="str">
        <x:v>Elsevier BV</x:v>
      </x:c>
      <x:c r="H9" s="88" t="str">
        <x:v>journal-article</x:v>
      </x:c>
      <x:c r="I9" s="86" t="str">
        <x:v>10.1016/j.jhydrol.2007.06.032</x:v>
      </x:c>
      <x:c r="J9" s="86" t="str">
        <x:v>https://doi.org/10.1016/j.jhydrol.2007.06.032</x:v>
      </x:c>
      <x:c r="K9" s="88" t="str"/>
      <x:c r="L9" s="88" t="str">
        <x:v>Not found in Crossref/OpenAlex/Semantic Scholar</x:v>
      </x:c>
      <x:c r="M9" s="88" t="str"/>
      <x:c r="N9" s="88" t="str">
        <x:v>Soil Moisture and Remote Sensing; Geophysical Methods and Applications; Landslides and related hazards; Geology</x:v>
      </x:c>
      <x:c r="O9" s="90" t="n">
        <x:v>313</x:v>
      </x:c>
      <x:c r="P9" s="90" t="n">
        <x:v>33</x:v>
      </x:c>
      <x:c r="Q9" s="86" t="str">
        <x:v>closed</x:v>
      </x:c>
      <x:c r="R9" s="87" t="b">
        <x:v>0</x:v>
      </x:c>
      <x:c r="S9" s="88" t="str">
        <x:v>https://www.elsevier.com/tdm/userlicense/1.0/</x:v>
      </x:c>
      <x:c r="T9" s="88" t="str">
        <x:v>Publication matched, but no lawful direct open-access PDF was found</x:v>
      </x:c>
      <x:c r="U9" s="88" t="str">
        <x:v>matched_no_oa_pdf</x:v>
      </x:c>
      <x:c r="V9" s="88" t="str">
        <x:v>High</x:v>
      </x:c>
      <x:c r="W9" s="88" t="str">
        <x:v>DOI resolved in Crossref</x:v>
      </x:c>
      <x:c r="X9" s="88" t="str">
        <x:v>https://doi.org/10.1016/j.jhydrol.2007.06.032</x:v>
      </x:c>
      <x:c r="Y9" s="88" t="str">
        <x:v>https://openalex.org/W2055470561</x:v>
      </x:c>
      <x:c r="Z9" s="88" t="str">
        <x:v>https://www.semanticscholar.org/paper/fb87940188cb9aebc98500d61a96b7ef4682a70b</x:v>
      </x:c>
      <x:c r="AA9" s="88" t="str">
        <x:v>Evaluation of a low-cost soil water content sensor for wireless network applications</x:v>
      </x:c>
      <x:c r="AB9" s="88" t="str">
        <x:v>10.1016/j.jhydrol.2007.06.032</x:v>
      </x:c>
      <x:c r="AC9" s="88" t="str">
        <x:v>article</x:v>
      </x:c>
      <x:c r="AD9" s="88" t="str"/>
    </x:row>
    <x:row r="10" ht="48" customHeight="1">
      <x:c r="A10" s="89" t="n">
        <x:v>9</x:v>
      </x:c>
      <x:c r="B10" s="86" t="str">
        <x:v>pierce1999site</x:v>
      </x:c>
      <x:c r="C10" s="88" t="str">
        <x:v>Aspects of Precision Agriculture</x:v>
      </x:c>
      <x:c r="D10" s="88" t="str">
        <x:v>Francis J. Pierce; Peter Nowak</x:v>
      </x:c>
      <x:c r="E10" s="89" t="n">
        <x:v>1999</x:v>
      </x:c>
      <x:c r="F10" s="88" t="str">
        <x:v>Advances in Agronomy</x:v>
      </x:c>
      <x:c r="G10" s="88" t="str">
        <x:v>Elsevier</x:v>
      </x:c>
      <x:c r="H10" s="88" t="str">
        <x:v>book-chapter</x:v>
      </x:c>
      <x:c r="I10" s="86" t="str">
        <x:v>10.1016/s0065-2113(08)60513-1</x:v>
      </x:c>
      <x:c r="J10" s="86" t="str">
        <x:v>https://doi.org/10.1016/s0065-2113(08)60513-1</x:v>
      </x:c>
      <x:c r="K10" s="88" t="str"/>
      <x:c r="L10" s="88" t="str">
        <x:v>Not available; source may not be a journal paper</x:v>
      </x:c>
      <x:c r="M10" s="88" t="str"/>
      <x:c r="N10" s="88" t="str">
        <x:v>Remote Sensing in Agriculture; Soil Geostatistics and Mapping; Smart Agriculture and AI; Environmental Science</x:v>
      </x:c>
      <x:c r="O10" s="90" t="n">
        <x:v>500</x:v>
      </x:c>
      <x:c r="P10" s="90" t="n">
        <x:v>316</x:v>
      </x:c>
      <x:c r="Q10" s="86" t="str">
        <x:v>closed</x:v>
      </x:c>
      <x:c r="R10" s="87" t="b">
        <x:v>0</x:v>
      </x:c>
      <x:c r="S10" s="88" t="str"/>
      <x:c r="T10" s="88" t="str">
        <x:v>Publication matched, but no lawful direct open-access PDF was found</x:v>
      </x:c>
      <x:c r="U10" s="88" t="str">
        <x:v>matched_no_oa_pdf</x:v>
      </x:c>
      <x:c r="V10" s="88" t="str">
        <x:v>High</x:v>
      </x:c>
      <x:c r="W10" s="88" t="str">
        <x:v>DOI resolved in Crossref</x:v>
      </x:c>
      <x:c r="X10" s="88" t="str">
        <x:v>https://doi.org/10.1016/s0065-2113(08)60513-1</x:v>
      </x:c>
      <x:c r="Y10" s="88" t="str">
        <x:v>https://openalex.org/W1600079720</x:v>
      </x:c>
      <x:c r="Z10" s="88" t="str">
        <x:v>https://www.semanticscholar.org/paper/e31e8a753a9bbd112d4c170c3b3f487a24632d56</x:v>
      </x:c>
      <x:c r="AA10" s="88" t="str">
        <x:v>Aspects of precision agriculture</x:v>
      </x:c>
      <x:c r="AB10" s="88" t="str">
        <x:v>10.1016/s0065-2113(08)60513-1</x:v>
      </x:c>
      <x:c r="AC10" s="88" t="str">
        <x:v>article</x:v>
      </x:c>
      <x:c r="AD10" s="88" t="str"/>
    </x:row>
    <x:row r="11" ht="48" customHeight="1">
      <x:c r="A11" s="89" t="n">
        <x:v>10</x:v>
      </x:c>
      <x:c r="B11" s="86" t="str">
        <x:v>evans2008precision</x:v>
      </x:c>
      <x:c r="C11" s="88" t="str">
        <x:v>Integration of wireless sensor network with variable rate irrigation technology</x:v>
      </x:c>
      <x:c r="D11" s="88" t="str">
        <x:v>Evans, R. G. and Iversen, W. M. and Kim, Y.</x:v>
      </x:c>
      <x:c r="E11" s="89" t="n">
        <x:v>2008</x:v>
      </x:c>
      <x:c r="F11" s="88" t="str">
        <x:v>Proceedings of the ASABE Annual International Meeting</x:v>
      </x:c>
      <x:c r="G11" s="88" t="str"/>
      <x:c r="H11" s="88" t="str">
        <x:v>article</x:v>
      </x:c>
      <x:c r="I11" s="86" t="str"/>
      <x:c r="J11" s="86" t="str"/>
      <x:c r="K11" s="88" t="str"/>
      <x:c r="L11" s="88" t="str">
        <x:v>Not found in Crossref/OpenAlex/Semantic Scholar</x:v>
      </x:c>
      <x:c r="M11" s="88" t="str"/>
      <x:c r="N11" s="88" t="str"/>
      <x:c r="O11" s="90"/>
      <x:c r="P11" s="90"/>
      <x:c r="Q11" s="86" t="str">
        <x:v>unknown</x:v>
      </x:c>
      <x:c r="R11" s="86"/>
      <x:c r="S11" s="88" t="str"/>
      <x:c r="T11" s="88" t="str">
        <x:v>Bibliographic record could not be reliably resolved</x:v>
      </x:c>
      <x:c r="U11" s="88" t="str">
        <x:v>unresolved</x:v>
      </x:c>
      <x:c r="V11" s="88" t="str">
        <x:v>Unverified</x:v>
      </x:c>
      <x:c r="W11" s="88" t="str">
        <x:v>No reliable external match</x:v>
      </x:c>
      <x:c r="X11" s="88" t="str"/>
      <x:c r="Y11" s="88" t="str"/>
      <x:c r="Z11" s="88" t="str"/>
      <x:c r="AA11" s="88" t="str">
        <x:v>Integration of wireless sensor network with variable rate irrigation technology</x:v>
      </x:c>
      <x:c r="AB11" s="88" t="str"/>
      <x:c r="AC11" s="88" t="str">
        <x:v>article</x:v>
      </x:c>
      <x:c r="AD11" s="88" t="str"/>
    </x:row>
    <x:row r="12" ht="48" customHeight="1">
      <x:c r="A12" s="89" t="n">
        <x:v>11</x:v>
      </x:c>
      <x:c r="B12" s="86" t="str">
        <x:v>aydin2021comprehensive</x:v>
      </x:c>
      <x:c r="C12" s="88" t="str">
        <x:v>A comprehensive review of IoT and wireless sensor networks in precision agriculture</x:v>
      </x:c>
      <x:c r="D12" s="88" t="str">
        <x:v>Aydin, Gokhan and Hall, Michael J.</x:v>
      </x:c>
      <x:c r="E12" s="89" t="n">
        <x:v>2021</x:v>
      </x:c>
      <x:c r="F12" s="88" t="str">
        <x:v>IEEE Access</x:v>
      </x:c>
      <x:c r="G12" s="88" t="str"/>
      <x:c r="H12" s="88" t="str">
        <x:v>article</x:v>
      </x:c>
      <x:c r="I12" s="86" t="str">
        <x:v>10.1109/access.2021.3129552</x:v>
      </x:c>
      <x:c r="J12" s="86" t="str">
        <x:v>https://doi.org/10.1109/access.2021.3129552</x:v>
      </x:c>
      <x:c r="K12" s="88" t="str"/>
      <x:c r="L12" s="88" t="str">
        <x:v>Not found in Crossref/OpenAlex/Semantic Scholar</x:v>
      </x:c>
      <x:c r="M12" s="88" t="str"/>
      <x:c r="N12" s="88" t="str"/>
      <x:c r="O12" s="90"/>
      <x:c r="P12" s="90"/>
      <x:c r="Q12" s="86" t="str">
        <x:v>unknown</x:v>
      </x:c>
      <x:c r="R12" s="86"/>
      <x:c r="S12" s="88" t="str"/>
      <x:c r="T12" s="88" t="str">
        <x:v>Bibliographic record could not be reliably resolved</x:v>
      </x:c>
      <x:c r="U12" s="88" t="str">
        <x:v>unresolved</x:v>
      </x:c>
      <x:c r="V12" s="88" t="str">
        <x:v>Unverified</x:v>
      </x:c>
      <x:c r="W12" s="88" t="str">
        <x:v>No reliable external match</x:v>
      </x:c>
      <x:c r="X12" s="88" t="str"/>
      <x:c r="Y12" s="88" t="str"/>
      <x:c r="Z12" s="88" t="str"/>
      <x:c r="AA12" s="88" t="str">
        <x:v>A comprehensive review of IoT and wireless sensor networks in precision agriculture</x:v>
      </x:c>
      <x:c r="AB12" s="88" t="str">
        <x:v>10.1109/access.2021.3129552</x:v>
      </x:c>
      <x:c r="AC12" s="88" t="str">
        <x:v>article</x:v>
      </x:c>
      <x:c r="AD12" s="88" t="str"/>
    </x:row>
    <x:row r="13" ht="48" customHeight="1">
      <x:c r="A13" s="89" t="n">
        <x:v>12</x:v>
      </x:c>
      <x:c r="B13" s="86" t="str">
        <x:v>sharma2020edge</x:v>
      </x:c>
      <x:c r="C13" s="88" t="str">
        <x:v>Live data analytics with collaborative edge and cloud processing in wireless IoT networks</x:v>
      </x:c>
      <x:c r="D13" s="88" t="str">
        <x:v>Sharma, Sandeep K. and Wang, Xianbin</x:v>
      </x:c>
      <x:c r="E13" s="89" t="n">
        <x:v>2020</x:v>
      </x:c>
      <x:c r="F13" s="88" t="str">
        <x:v>IEEE Internet of Things Journal</x:v>
      </x:c>
      <x:c r="G13" s="88" t="str"/>
      <x:c r="H13" s="88" t="str">
        <x:v>article</x:v>
      </x:c>
      <x:c r="I13" s="86" t="str">
        <x:v>10.1109/jiot.2020.2977767</x:v>
      </x:c>
      <x:c r="J13" s="86" t="str">
        <x:v>https://doi.org/10.1109/jiot.2020.2977767</x:v>
      </x:c>
      <x:c r="K13" s="88" t="str"/>
      <x:c r="L13" s="88" t="str">
        <x:v>Not found in Crossref/OpenAlex/Semantic Scholar</x:v>
      </x:c>
      <x:c r="M13" s="88" t="str"/>
      <x:c r="N13" s="88" t="str"/>
      <x:c r="O13" s="90"/>
      <x:c r="P13" s="90"/>
      <x:c r="Q13" s="86" t="str">
        <x:v>gold</x:v>
      </x:c>
      <x:c r="R13" s="86"/>
      <x:c r="S13" s="88" t="str"/>
      <x:c r="T13" s="88" t="str">
        <x:v>Publication matched; an OA landing page or metadata record was found, but no downloadable PDF was retrieved</x:v>
      </x:c>
      <x:c r="U13" s="88" t="str">
        <x:v>matched</x:v>
      </x:c>
      <x:c r="V13" s="88" t="str">
        <x:v>Unverified</x:v>
      </x:c>
      <x:c r="W13" s="88" t="str">
        <x:v>No reliable external match</x:v>
      </x:c>
      <x:c r="X13" s="88" t="str"/>
      <x:c r="Y13" s="88" t="str"/>
      <x:c r="Z13" s="88" t="str"/>
      <x:c r="AA13" s="88" t="str">
        <x:v>Live data analytics with collaborative edge and cloud processing in wireless IoT networks</x:v>
      </x:c>
      <x:c r="AB13" s="88" t="str">
        <x:v>10.1109/jiot.2020.2977767</x:v>
      </x:c>
      <x:c r="AC13" s="88" t="str">
        <x:v>article</x:v>
      </x:c>
      <x:c r="AD13" s="88" t="str">
        <x:v>OA PDF download failed</x:v>
      </x:c>
    </x:row>
    <x:row r="14" ht="48" customHeight="1">
      <x:c r="A14" s="89" t="n">
        <x:v>13</x:v>
      </x:c>
      <x:c r="B14" s="86" t="str">
        <x:v>liu2019edge</x:v>
      </x:c>
      <x:c r="C14" s="88" t="str">
        <x:v>Intelligent Edge Computing for IoT-Based Energy Management in Smart Cities</x:v>
      </x:c>
      <x:c r="D14" s="88" t="str">
        <x:v>Yi Liu; Chao Yang; Li Jiang; Shengli Xie; Yan Zhang</x:v>
      </x:c>
      <x:c r="E14" s="89" t="n">
        <x:v>2019</x:v>
      </x:c>
      <x:c r="F14" s="88" t="str">
        <x:v>IEEE Network</x:v>
      </x:c>
      <x:c r="G14" s="88" t="str">
        <x:v>Institute of Electrical and Electronics Engineers (IEEE)</x:v>
      </x:c>
      <x:c r="H14" s="88" t="str">
        <x:v>journal-article</x:v>
      </x:c>
      <x:c r="I14" s="86" t="str">
        <x:v>10.1109/mnet.2019.1800254</x:v>
      </x:c>
      <x:c r="J14" s="86" t="str">
        <x:v>https://doi.org/10.1109/mnet.2019.1800254</x:v>
      </x:c>
      <x:c r="K14" s="88" t="str">
        <x:v>In recent years, green energy management systems (smart grid, smart buildings, and so on) have received huge research and industrial attention with the explosive development of smart cities. By introducing Internet of Things (IoT) technology, smart cities are able to achieve exquisite energy management by ubiquitous monitoring and reliable communications. However, long-term energy efficiency has become an important issue when using an IoT-based network structure. In this article, we focus on designing an IoT-based energy management system based on edge computing infrastructure with deep reinforcement learning. First, an overview of IoT-based energy management in smart cities is described. Then the framework and software model of an IoT-based system with edge computing are proposed. After that, we present an efficient energy scheduling scheme with deep reinforcement learning for the proposed framework. Finally, we illustrate the effectiveness of the proposed scheme.</x:v>
      </x:c>
      <x:c r="L14" s="88" t="str">
        <x:v>Available</x:v>
      </x:c>
      <x:c r="M14" s="88" t="str">
        <x:v>OpenAlex</x:v>
      </x:c>
      <x:c r="N14" s="88" t="str">
        <x:v>Smart Grid Energy Management; Smart Parking Systems Research; IoT and Edge/Fog Computing; Computer Science</x:v>
      </x:c>
      <x:c r="O14" s="90" t="n">
        <x:v>527</x:v>
      </x:c>
      <x:c r="P14" s="90" t="n">
        <x:v>16</x:v>
      </x:c>
      <x:c r="Q14" s="86" t="str">
        <x:v>closed</x:v>
      </x:c>
      <x:c r="R14" s="87" t="b">
        <x:v>0</x:v>
      </x:c>
      <x:c r="S14" s="88" t="str">
        <x:v>https://ieeexplore.ieee.org/Xplorehelp/downloads/license-information/IEEE.html; https://doi.org/10.15223/policy-029; https://doi.org/10.15223/policy-037</x:v>
      </x:c>
      <x:c r="T14" s="88" t="str">
        <x:v>Publication matched, but no lawful direct open-access PDF was found</x:v>
      </x:c>
      <x:c r="U14" s="88" t="str">
        <x:v>matched_no_oa_pdf</x:v>
      </x:c>
      <x:c r="V14" s="88" t="str">
        <x:v>High</x:v>
      </x:c>
      <x:c r="W14" s="88" t="str">
        <x:v>DOI resolved in Crossref</x:v>
      </x:c>
      <x:c r="X14" s="88" t="str">
        <x:v>https://doi.org/10.1109/mnet.2019.1800254</x:v>
      </x:c>
      <x:c r="Y14" s="88" t="str">
        <x:v>https://openalex.org/W2926519916</x:v>
      </x:c>
      <x:c r="Z14" s="88" t="str">
        <x:v>https://www.semanticscholar.org/paper/114a3bc81f451c7363d137e88b78dc2e32dfc2c6</x:v>
      </x:c>
      <x:c r="AA14" s="88" t="str">
        <x:v>Intelligent edge computing for IoT-based energy management in smart cities</x:v>
      </x:c>
      <x:c r="AB14" s="88" t="str">
        <x:v>10.1109/mnet.2019.1800254</x:v>
      </x:c>
      <x:c r="AC14" s="88" t="str">
        <x:v>article</x:v>
      </x:c>
      <x:c r="AD14" s="88" t="str"/>
    </x:row>
    <x:row r="15" ht="48" customHeight="1">
      <x:c r="A15" s="89" t="n">
        <x:v>14</x:v>
      </x:c>
      <x:c r="B15" s="86" t="str">
        <x:v>van2020review</x:v>
      </x:c>
      <x:c r="C15" s="88" t="str">
        <x:v>Crop yield prediction using machine learning: A systematic literature review</x:v>
      </x:c>
      <x:c r="D15" s="88" t="str">
        <x:v>Thomas van Klompenburg; Ayalew Kassahun; Cagatay Catal</x:v>
      </x:c>
      <x:c r="E15" s="89" t="n">
        <x:v>2020</x:v>
      </x:c>
      <x:c r="F15" s="88" t="str">
        <x:v>Computers and Electronics in Agriculture</x:v>
      </x:c>
      <x:c r="G15" s="88" t="str">
        <x:v>Elsevier BV</x:v>
      </x:c>
      <x:c r="H15" s="88" t="str">
        <x:v>journal-article</x:v>
      </x:c>
      <x:c r="I15" s="86" t="str">
        <x:v>10.1016/j.compag.2020.105709</x:v>
      </x:c>
      <x:c r="J15" s="86" t="str">
        <x:v>https://doi.org/10.1016/j.compag.2020.105709</x:v>
      </x:c>
      <x:c r="K15" s="88" t="str">
        <x:v>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x:v>
      </x:c>
      <x:c r="L15" s="88" t="str">
        <x:v>Available</x:v>
      </x:c>
      <x:c r="M15" s="88" t="str">
        <x:v>OpenAlex</x:v>
      </x:c>
      <x:c r="N15" s="88" t="str">
        <x:v>Smart Agriculture and AI; Hydrological Forecasting Using AI; Greenhouse Technology and Climate Control; Computer Science</x:v>
      </x:c>
      <x:c r="O15" s="90" t="n">
        <x:v>1616</x:v>
      </x:c>
      <x:c r="P15" s="90" t="n">
        <x:v>106</x:v>
      </x:c>
      <x:c r="Q15" s="86" t="str">
        <x:v>hybrid</x:v>
      </x:c>
      <x:c r="R15" s="87" t="b">
        <x:v>1</x:v>
      </x:c>
      <x:c r="S15" s="88" t="str">
        <x:v>https://www.elsevier.com/tdm/userlicense/1.0/; https://www.elsevier.com/legal/tdmrep-license; http://creativecommons.org/licenses/by/4.0/</x:v>
      </x:c>
      <x:c r="T15" s="88" t="str">
        <x:v>Publication matched; an OA landing page or metadata record was found, but no downloadable PDF was retrieved</x:v>
      </x:c>
      <x:c r="U15" s="88" t="str">
        <x:v>matched</x:v>
      </x:c>
      <x:c r="V15" s="88" t="str">
        <x:v>High</x:v>
      </x:c>
      <x:c r="W15" s="88" t="str">
        <x:v>DOI resolved in Crossref</x:v>
      </x:c>
      <x:c r="X15" s="88" t="str">
        <x:v>https://doi.org/10.1016/j.compag.2020.105709</x:v>
      </x:c>
      <x:c r="Y15" s="88" t="str">
        <x:v>https://openalex.org/W3079760979</x:v>
      </x:c>
      <x:c r="Z15" s="88" t="str">
        <x:v>https://www.semanticscholar.org/paper/f6d918d1c9b7bb1e45b9ca750bd9618bf8ef4ad7</x:v>
      </x:c>
      <x:c r="AA15" s="88" t="str">
        <x:v>Crop yield prediction using machine learning: A systematic literature review</x:v>
      </x:c>
      <x:c r="AB15" s="88" t="str">
        <x:v>10.1016/j.compag.2020.105709</x:v>
      </x:c>
      <x:c r="AC15" s="88" t="str">
        <x:v>article</x:v>
      </x:c>
      <x:c r="AD15" s="88" t="str">
        <x:v>OA location did not return a PDF</x:v>
      </x:c>
    </x:row>
    <x:row r="16" ht="48" customHeight="1">
      <x:c r="A16" s="89" t="n">
        <x:v>15</x:v>
      </x:c>
      <x:c r="B16" s="86" t="str">
        <x:v>goap2018iot</x:v>
      </x:c>
      <x:c r="C16" s="88" t="str">
        <x:v>An IoT based smart irrigation management system using Machine learning and open source technologies</x:v>
      </x:c>
      <x:c r="D16" s="88" t="str">
        <x:v>Amarendra Goap; Deepak Sharma; A.K. Shukla; C. Rama Krishna</x:v>
      </x:c>
      <x:c r="E16" s="89" t="n">
        <x:v>2018</x:v>
      </x:c>
      <x:c r="F16" s="88" t="str">
        <x:v>Computers and Electronics in Agriculture</x:v>
      </x:c>
      <x:c r="G16" s="88" t="str">
        <x:v>Elsevier BV</x:v>
      </x:c>
      <x:c r="H16" s="88" t="str">
        <x:v>journal-article</x:v>
      </x:c>
      <x:c r="I16" s="86" t="str">
        <x:v>10.1016/j.compag.2018.09.040</x:v>
      </x:c>
      <x:c r="J16" s="86" t="str">
        <x:v>https://doi.org/10.1016/j.compag.2018.09.040</x:v>
      </x:c>
      <x:c r="K16"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L16" s="88" t="str">
        <x:v>Available</x:v>
      </x:c>
      <x:c r="M16" s="88" t="str">
        <x:v>Semantic Scholar</x:v>
      </x:c>
      <x:c r="N16" s="88" t="str">
        <x:v>Smart Agriculture and AI; Water Quality Monitoring Technologies; Internet of Things and AI; Computer Science</x:v>
      </x:c>
      <x:c r="O16" s="90" t="n">
        <x:v>574</x:v>
      </x:c>
      <x:c r="P16" s="90" t="n">
        <x:v>31</x:v>
      </x:c>
      <x:c r="Q16" s="86" t="str">
        <x:v>closed</x:v>
      </x:c>
      <x:c r="R16" s="87" t="b">
        <x:v>0</x:v>
      </x:c>
      <x:c r="S16" s="88" t="str">
        <x:v>https://www.elsevier.com/tdm/userlicense/1.0/</x:v>
      </x:c>
      <x:c r="T16" s="88" t="str">
        <x:v>Publication matched, but no lawful direct open-access PDF was found</x:v>
      </x:c>
      <x:c r="U16" s="88" t="str">
        <x:v>matched_no_oa_pdf</x:v>
      </x:c>
      <x:c r="V16" s="88" t="str">
        <x:v>High</x:v>
      </x:c>
      <x:c r="W16" s="88" t="str">
        <x:v>DOI resolved in Crossref</x:v>
      </x:c>
      <x:c r="X16" s="88" t="str">
        <x:v>https://doi.org/10.1016/j.compag.2018.09.040</x:v>
      </x:c>
      <x:c r="Y16" s="88" t="str">
        <x:v>https://openalex.org/W2896625020</x:v>
      </x:c>
      <x:c r="Z16" s="88" t="str">
        <x:v>https://www.semanticscholar.org/paper/dc367cca9a8c687edb8aa09b7ac3fafc802d0d38</x:v>
      </x:c>
      <x:c r="AA16" s="88" t="str">
        <x:v>An IoT based smart irrigation management system using Machine learning and open source technologies</x:v>
      </x:c>
      <x:c r="AB16" s="88" t="str">
        <x:v>10.1016/j.compag.2018.09.040</x:v>
      </x:c>
      <x:c r="AC16" s="88" t="str">
        <x:v>article</x:v>
      </x:c>
      <x:c r="AD16" s="88" t="str"/>
    </x:row>
    <x:row r="17" ht="48" customHeight="1">
      <x:c r="A17" s="89" t="n">
        <x:v>16</x:v>
      </x:c>
      <x:c r="B17" s="86" t="str">
        <x:v>chlingaryan2018machine</x:v>
      </x:c>
      <x:c r="C17" s="88" t="str">
        <x:v>Machine learning approaches for crop yield prediction and nitrogen status estimation in precision agriculture: A review</x:v>
      </x:c>
      <x:c r="D17" s="88" t="str">
        <x:v>Anna Chlingaryan; Salah Sukkarieh; Brett Whelan</x:v>
      </x:c>
      <x:c r="E17" s="89" t="n">
        <x:v>2018</x:v>
      </x:c>
      <x:c r="F17" s="88" t="str">
        <x:v>Computers and Electronics in Agriculture</x:v>
      </x:c>
      <x:c r="G17" s="88" t="str">
        <x:v>Elsevier BV</x:v>
      </x:c>
      <x:c r="H17" s="88" t="str">
        <x:v>journal-article</x:v>
      </x:c>
      <x:c r="I17" s="86" t="str">
        <x:v>10.1016/j.compag.2018.05.012</x:v>
      </x:c>
      <x:c r="J17" s="86" t="str">
        <x:v>https://doi.org/10.1016/j.compag.2018.05.012</x:v>
      </x:c>
      <x:c r="K17" s="88" t="str">
        <x:v>Abstract Accurate yield estimation and optimised nitrogen management is essential in agriculture. Remote sensing (RS) systems are being more widely used in building decision support tools for contemporary farming systems to improve yield production and nitrogen management while reducing operating costs and environmental impact. However, RS based approaches require processing of enormous amounts of remotely sensed data from different platforms and, therefore, greater attention is currently being devoted to machine learning (ML) methods. This is due to the capability of machine learning based systems to process a large number of inputs and handle non-linear tasks. This paper discusses research developments conducted within the last 15 years on machine learning based techniques for accurate crop yield prediction and nitrogen status estimation. The paper concludes that the rapid advances in sensing technologies and ML techniques will provide cost-effective and comprehensive solutions for better crop and environment state estimation and decision making. More targeted application of the sensor platforms and ML techniques, the fusion of different sensor modalities and expert knowledge, and the development of hybrid systems combining different ML and signal processing techniques are all likely to be part of precision agriculture (PA) in the near future.</x:v>
      </x:c>
      <x:c r="L17" s="88" t="str">
        <x:v>Available</x:v>
      </x:c>
      <x:c r="M17" s="88" t="str">
        <x:v>Semantic Scholar</x:v>
      </x:c>
      <x:c r="N17" s="88" t="str">
        <x:v>Remote Sensing in Agriculture; Smart Agriculture and AI; Remote Sensing and LiDAR Applications; Computer Science</x:v>
      </x:c>
      <x:c r="O17" s="90" t="n">
        <x:v>1383</x:v>
      </x:c>
      <x:c r="P17" s="90" t="n">
        <x:v>141</x:v>
      </x:c>
      <x:c r="Q17" s="86" t="str">
        <x:v>closed</x:v>
      </x:c>
      <x:c r="R17" s="87" t="b">
        <x:v>0</x:v>
      </x:c>
      <x:c r="S17" s="88" t="str">
        <x:v>https://www.elsevier.com/tdm/userlicense/1.0/</x:v>
      </x:c>
      <x:c r="T17" s="88" t="str">
        <x:v>Publication matched, but no lawful direct open-access PDF was found</x:v>
      </x:c>
      <x:c r="U17" s="88" t="str">
        <x:v>matched_no_oa_pdf</x:v>
      </x:c>
      <x:c r="V17" s="88" t="str">
        <x:v>High</x:v>
      </x:c>
      <x:c r="W17" s="88" t="str">
        <x:v>DOI resolved in Crossref</x:v>
      </x:c>
      <x:c r="X17" s="88" t="str">
        <x:v>https://doi.org/10.1016/j.compag.2018.05.012</x:v>
      </x:c>
      <x:c r="Y17" s="88" t="str">
        <x:v>https://openalex.org/W2805142011</x:v>
      </x:c>
      <x:c r="Z17" s="88" t="str">
        <x:v>https://www.semanticscholar.org/paper/78f232ab1d6001acc6c332b75777c0d531d0df0b</x:v>
      </x:c>
      <x:c r="AA17" s="88" t="str">
        <x:v>Machine learning approaches for crop yield prediction and nitrogen status estimation in precision agriculture: A review</x:v>
      </x:c>
      <x:c r="AB17" s="88" t="str">
        <x:v>10.1016/j.compag.2018.05.012</x:v>
      </x:c>
      <x:c r="AC17" s="88" t="str">
        <x:v>article</x:v>
      </x:c>
      <x:c r="AD17" s="88" t="str"/>
    </x:row>
    <x:row r="18" ht="48" customHeight="1">
      <x:c r="A18" s="89" t="n">
        <x:v>17</x:v>
      </x:c>
      <x:c r="B18" s="86" t="str">
        <x:v>tian2017supply</x:v>
      </x:c>
      <x:c r="C18" s="88" t="str">
        <x:v>A supply chain traceability system for food safety based on HACCP, blockchain &amp;amp; Internet of things</x:v>
      </x:c>
      <x:c r="D18" s="88" t="str">
        <x:v>Feng Tian</x:v>
      </x:c>
      <x:c r="E18" s="89" t="n">
        <x:v>2017</x:v>
      </x:c>
      <x:c r="F18" s="88" t="str">
        <x:v>2017 International Conference on Service Systems and Service Management</x:v>
      </x:c>
      <x:c r="G18" s="88" t="str">
        <x:v>IEEE</x:v>
      </x:c>
      <x:c r="H18" s="88" t="str">
        <x:v>proceedings-article</x:v>
      </x:c>
      <x:c r="I18" s="86" t="str">
        <x:v>10.1109/icsssm.2017.7996119</x:v>
      </x:c>
      <x:c r="J18" s="86" t="str">
        <x:v>https://doi.org/10.1109/icsssm.2017.7996119</x:v>
      </x:c>
      <x:c r="K18"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L18" s="88" t="str">
        <x:v>Available</x:v>
      </x:c>
      <x:c r="M18" s="88" t="str">
        <x:v>OpenAlex</x:v>
      </x:c>
      <x:c r="N18" s="88" t="str">
        <x:v>Food Supply Chain Traceability; Food Waste Reduction and Sustainability; Food Safety and Hygiene; Computer Science</x:v>
      </x:c>
      <x:c r="O18" s="90" t="n">
        <x:v>277</x:v>
      </x:c>
      <x:c r="P18" s="90" t="n">
        <x:v>20</x:v>
      </x:c>
      <x:c r="Q18" s="86" t="str">
        <x:v>closed</x:v>
      </x:c>
      <x:c r="R18" s="87" t="b">
        <x:v>0</x:v>
      </x:c>
      <x:c r="S18" s="88" t="str"/>
      <x:c r="T18" s="88" t="str">
        <x:v>Publication matched, but no lawful direct open-access PDF was found</x:v>
      </x:c>
      <x:c r="U18" s="88" t="str">
        <x:v>matched_no_oa_pdf</x:v>
      </x:c>
      <x:c r="V18" s="88" t="str">
        <x:v>High</x:v>
      </x:c>
      <x:c r="W18" s="88" t="str">
        <x:v>DOI resolved in Crossref</x:v>
      </x:c>
      <x:c r="X18" s="88" t="str">
        <x:v>https://doi.org/10.1109/icsssm.2017.7996119</x:v>
      </x:c>
      <x:c r="Y18" s="88" t="str">
        <x:v>https://openalex.org/W2740090788</x:v>
      </x:c>
      <x:c r="Z18" s="88" t="str">
        <x:v>https://www.semanticscholar.org/paper/304083f2a7b00d07d7c33883e2e74ac0fd8245c5</x:v>
      </x:c>
      <x:c r="AA18" s="88" t="str">
        <x:v>A supply chain traceability system for food safety based on HACCP, blockchain &amp; Internet of Things</x:v>
      </x:c>
      <x:c r="AB18" s="88" t="str">
        <x:v>10.1109/icsssm.2017.7996119</x:v>
      </x:c>
      <x:c r="AC18" s="88" t="str">
        <x:v>inproceedings</x:v>
      </x:c>
      <x:c r="AD18" s="88" t="str"/>
    </x:row>
    <x:row r="19" ht="48" customHeight="1">
      <x:c r="A19" s="89" t="n">
        <x:v>18</x:v>
      </x:c>
      <x:c r="B19" s="86" t="str">
        <x:v>amdahl1967validity</x:v>
      </x:c>
      <x:c r="C19" s="88" t="str">
        <x:v>Validity of the single processor approach to achieving large scale computing capabilities</x:v>
      </x:c>
      <x:c r="D19" s="88" t="str">
        <x:v>Gene M. Amdahl</x:v>
      </x:c>
      <x:c r="E19" s="89" t="n">
        <x:v>1967</x:v>
      </x:c>
      <x:c r="F19" s="88" t="str">
        <x:v>Proceedings of the April 18-20, 1967, spring joint computer conference on - AFIPS '67 (Spring)</x:v>
      </x:c>
      <x:c r="G19" s="88" t="str">
        <x:v>ACM Press</x:v>
      </x:c>
      <x:c r="H19" s="88" t="str">
        <x:v>proceedings-article</x:v>
      </x:c>
      <x:c r="I19" s="86" t="str">
        <x:v>10.1145/1465482.1465560</x:v>
      </x:c>
      <x:c r="J19" s="86" t="str">
        <x:v>https://doi.org/10.1145/1465482.1465560</x:v>
      </x:c>
      <x:c r="K19" s="88" t="str">
        <x:v>For over a decade prophets have voiced the contention that the organization of a single computer has reached its limits and that truly significant advances can be made only by interconnection of a multiplicity of computers in such a manner as to permit cooperative solution. Variously the proper direction has been pointed out as general purpose computers with a generalized interconnection of memories, or as specialized computers with geometrically related memory interconnections and controlled by one or more instruction streams.</x:v>
      </x:c>
      <x:c r="L19" s="88" t="str">
        <x:v>Available</x:v>
      </x:c>
      <x:c r="M19" s="88" t="str">
        <x:v>OpenAlex</x:v>
      </x:c>
      <x:c r="N19" s="88" t="str">
        <x:v>Parallel Computing and Optimization Techniques; Interconnection Networks and Systems; Computer Science</x:v>
      </x:c>
      <x:c r="O19" s="90" t="n">
        <x:v>1995</x:v>
      </x:c>
      <x:c r="P19" s="90" t="n">
        <x:v>0</x:v>
      </x:c>
      <x:c r="Q19" s="86" t="str">
        <x:v>closed</x:v>
      </x:c>
      <x:c r="R19" s="87" t="b">
        <x:v>0</x:v>
      </x:c>
      <x:c r="S19" s="88" t="str">
        <x:v>https://www.acm.org/publications/policies/copyright_policy#Background</x:v>
      </x:c>
      <x:c r="T19" s="88" t="str">
        <x:v>Publication matched, but no lawful direct open-access PDF was found</x:v>
      </x:c>
      <x:c r="U19" s="88" t="str">
        <x:v>matched_no_oa_pdf</x:v>
      </x:c>
      <x:c r="V19" s="88" t="str">
        <x:v>High</x:v>
      </x:c>
      <x:c r="W19" s="88" t="str">
        <x:v>DOI resolved in Crossref</x:v>
      </x:c>
      <x:c r="X19" s="88" t="str">
        <x:v>https://doi.org/10.1145/1465482.1465560</x:v>
      </x:c>
      <x:c r="Y19" s="88" t="str">
        <x:v>https://openalex.org/W2150871235</x:v>
      </x:c>
      <x:c r="Z19" s="88" t="str">
        <x:v>https://www.semanticscholar.org/paper/24251f02c34f32b1dd96572a1d984c4463a26a10</x:v>
      </x:c>
      <x:c r="AA19" s="88" t="str">
        <x:v>Validity of the single processor approach to achieving large scale computing capabilities</x:v>
      </x:c>
      <x:c r="AB19" s="88" t="str">
        <x:v>10.1145/1465482.1465560</x:v>
      </x:c>
      <x:c r="AC19" s="88" t="str">
        <x:v>inproceedings</x:v>
      </x:c>
      <x:c r="AD19" s="88" t="str"/>
    </x:row>
    <x:row r="20" ht="48" customHeight="1">
      <x:c r="A20" s="89" t="n">
        <x:v>19</x:v>
      </x:c>
      <x:c r="B20" s="86" t="str">
        <x:v>espressif2020esp32</x:v>
      </x:c>
      <x:c r="C20" s="88" t="str">
        <x:v>ESP32 Technical Reference Manual</x:v>
      </x:c>
      <x:c r="D20" s="88" t="str">
        <x:v>Espressif Systems</x:v>
      </x:c>
      <x:c r="E20" s="89" t="n">
        <x:v>2020</x:v>
      </x:c>
      <x:c r="F20" s="88" t="str"/>
      <x:c r="G20" s="88" t="str"/>
      <x:c r="H20" s="88" t="str">
        <x:v>manual</x:v>
      </x:c>
      <x:c r="I20" s="86" t="str"/>
      <x:c r="J20" s="86" t="str"/>
      <x:c r="K20" s="88" t="str"/>
      <x:c r="L20" s="88" t="str">
        <x:v>Not available; source may not be a journal paper</x:v>
      </x:c>
      <x:c r="M20" s="88" t="str"/>
      <x:c r="N20" s="88" t="str"/>
      <x:c r="O20" s="90"/>
      <x:c r="P20" s="90"/>
      <x:c r="Q20" s="86" t="str">
        <x:v>unknown</x:v>
      </x:c>
      <x:c r="R20" s="86"/>
      <x:c r="S20" s="88" t="str"/>
      <x:c r="T20" s="88" t="str">
        <x:v>Bibliographic record could not be reliably resolved</x:v>
      </x:c>
      <x:c r="U20" s="88" t="str">
        <x:v>unresolved</x:v>
      </x:c>
      <x:c r="V20" s="88" t="str">
        <x:v>Unverified</x:v>
      </x:c>
      <x:c r="W20" s="88" t="str">
        <x:v>No reliable external match</x:v>
      </x:c>
      <x:c r="X20" s="88" t="str"/>
      <x:c r="Y20" s="88" t="str"/>
      <x:c r="Z20" s="88" t="str"/>
      <x:c r="AA20" s="88" t="str">
        <x:v>ESP32 Technical Reference Manual</x:v>
      </x:c>
      <x:c r="AB20" s="88" t="str"/>
      <x:c r="AC20" s="88" t="str">
        <x:v>manual</x:v>
      </x:c>
      <x:c r="AD20" s="88" t="str"/>
    </x:row>
    <x:row r="21" ht="48" customHeight="1">
      <x:c r="A21" s="89" t="n">
        <x:v>20</x:v>
      </x:c>
      <x:c r="B21" s="86" t="str">
        <x:v>galvez2018future</x:v>
      </x:c>
      <x:c r="C21" s="88" t="str">
        <x:v>Future challenges on the use of blockchain for food traceability analysis</x:v>
      </x:c>
      <x:c r="D21" s="88" t="str">
        <x:v>Juan F. Galvez; J.C. Mejuto; J. Simal-Gandara</x:v>
      </x:c>
      <x:c r="E21" s="89" t="n">
        <x:v>2018</x:v>
      </x:c>
      <x:c r="F21" s="88" t="str">
        <x:v>TrAC Trends in Analytical Chemistry</x:v>
      </x:c>
      <x:c r="G21" s="88" t="str">
        <x:v>Elsevier BV</x:v>
      </x:c>
      <x:c r="H21" s="88" t="str">
        <x:v>journal-article</x:v>
      </x:c>
      <x:c r="I21" s="86" t="str">
        <x:v>10.1016/j.trac.2018.08.011</x:v>
      </x:c>
      <x:c r="J21" s="86" t="str">
        <x:v>https://doi.org/10.1016/j.trac.2018.08.011</x:v>
      </x:c>
      <x:c r="K21" s="88" t="str">
        <x:v>Abstract The steady increase in food falsification, which has caused large economic losses and eroded consumers’ trust, has become a pressing issue for producers, researchers, governments, consumers and other stakeholders. Tracking and authenticating the food supply chain to understand provenance is critical with a view to identifying and addressing sources of contamination in the food supply chain worldwide. One way of solving traceability issues and ensuring transparency is by using blockchain technology to store data from chemical analysis in chronological order so that they are impossible to manipulate afterwards. This review examines the potential of blockchain technology for assuring traceability and authenticity in the food supply chain. It can be considered a true innovation and relevant approach to assure the quality of the third step of the analytical processes: data acquisition and management.</x:v>
      </x:c>
      <x:c r="L21" s="88" t="str">
        <x:v>Available</x:v>
      </x:c>
      <x:c r="M21" s="88" t="str">
        <x:v>Semantic Scholar</x:v>
      </x:c>
      <x:c r="N21" s="88" t="str">
        <x:v>Identification and Quantification in Food; Food Supply Chain Traceability; Advanced Chemical Sensor Technologies; Business</x:v>
      </x:c>
      <x:c r="O21" s="90" t="n">
        <x:v>784</x:v>
      </x:c>
      <x:c r="P21" s="90" t="n">
        <x:v>85</x:v>
      </x:c>
      <x:c r="Q21" s="86" t="str">
        <x:v>closed</x:v>
      </x:c>
      <x:c r="R21" s="87" t="b">
        <x:v>0</x:v>
      </x:c>
      <x:c r="S21" s="88" t="str">
        <x:v>https://www.elsevier.com/tdm/userlicense/1.0/</x:v>
      </x:c>
      <x:c r="T21" s="88" t="str">
        <x:v>Publication matched, but no lawful direct open-access PDF was found</x:v>
      </x:c>
      <x:c r="U21" s="88" t="str">
        <x:v>matched_no_oa_pdf</x:v>
      </x:c>
      <x:c r="V21" s="88" t="str">
        <x:v>High</x:v>
      </x:c>
      <x:c r="W21" s="88" t="str">
        <x:v>DOI resolved in Crossref</x:v>
      </x:c>
      <x:c r="X21" s="88" t="str">
        <x:v>https://doi.org/10.1016/j.trac.2018.08.011</x:v>
      </x:c>
      <x:c r="Y21" s="88" t="str">
        <x:v>https://openalex.org/W2889403099</x:v>
      </x:c>
      <x:c r="Z21" s="88" t="str">
        <x:v>https://www.semanticscholar.org/paper/420d8eb0d8f9829506a7fef6140b87e045cfb402</x:v>
      </x:c>
      <x:c r="AA21" s="88" t="str">
        <x:v>Future challenges on the use of blockchain for food traceability analysis</x:v>
      </x:c>
      <x:c r="AB21" s="88" t="str">
        <x:v>10.1016/j.trac.2018.08.011</x:v>
      </x:c>
      <x:c r="AC21" s="88" t="str">
        <x:v>article</x:v>
      </x:c>
      <x:c r="AD21" s="88" t="str"/>
    </x:row>
    <x:row r="22" ht="48" customHeight="1">
      <x:c r="A22" s="89" t="n">
        <x:v>21</x:v>
      </x:c>
      <x:c r="B22" s="86" t="str">
        <x:v>lin2018blockchain</x:v>
      </x:c>
      <x:c r="C22" s="88" t="str">
        <x:v>Blockchain and IoT based Food Traceability for Smart Agriculture</x:v>
      </x:c>
      <x:c r="D22" s="88" t="str">
        <x:v>Jun Lin; Zhiqi Shen; Anting Zhang; Yueting Chai</x:v>
      </x:c>
      <x:c r="E22" s="89" t="n">
        <x:v>2018</x:v>
      </x:c>
      <x:c r="F22" s="88" t="str">
        <x:v>Proceedings of the 3rd International Conference on Crowd Science and Engineering</x:v>
      </x:c>
      <x:c r="G22" s="88" t="str">
        <x:v>ACM</x:v>
      </x:c>
      <x:c r="H22" s="88" t="str">
        <x:v>proceedings-article</x:v>
      </x:c>
      <x:c r="I22" s="86" t="str">
        <x:v>10.1145/3265689.3265692</x:v>
      </x:c>
      <x:c r="J22" s="86" t="str">
        <x:v>https://doi.org/10.1145/3265689.3265692</x:v>
      </x:c>
      <x:c r="K22" s="88" t="str">
        <x:v>1Food safety is becoming more and more serious topic worldwide. To tackle the food safety issues from the technical aspect, people need a trusted food traceability system that can track and monitor the whole lifespan of food production, including the processes of food raw material cultivation/breeding, processing, transporting, warehousing, and selling etc. In this paper, we propose a trusted, self-organized, open and ecological food traceability system based on blockchain and Internet of Things (IoT) technologies, which involves all parties of a smart agriculture ecosystem, even if they may not trust each other. We use IoT devices to replace manual recording and verification as many as possible, which can reduce the human intervention to the system effectively. Furthermore, we plan to use the smart contract technology to help the law-executor to find problems and process them timely.</x:v>
      </x:c>
      <x:c r="L22" s="88" t="str">
        <x:v>Available</x:v>
      </x:c>
      <x:c r="M22" s="88" t="str">
        <x:v>OpenAlex</x:v>
      </x:c>
      <x:c r="N22" s="88" t="str">
        <x:v>Food Supply Chain Traceability; Blockchain Technology Applications and Security; IoT and Edge/Fog Computing; Computer Science; Business</x:v>
      </x:c>
      <x:c r="O22" s="90" t="n">
        <x:v>257</x:v>
      </x:c>
      <x:c r="P22" s="90" t="n">
        <x:v>19</x:v>
      </x:c>
      <x:c r="Q22" s="86" t="str">
        <x:v>green</x:v>
      </x:c>
      <x:c r="R22" s="87" t="b">
        <x:v>1</x:v>
      </x:c>
      <x:c r="S22" s="88" t="str">
        <x:v>https://www.acm.org/publications/policies/copyright_policy#Background</x:v>
      </x:c>
      <x:c r="T22" s="88" t="str">
        <x:v>Publication matched; an OA landing page or metadata record was found, but no downloadable PDF was retrieved</x:v>
      </x:c>
      <x:c r="U22" s="88" t="str">
        <x:v>matched</x:v>
      </x:c>
      <x:c r="V22" s="88" t="str">
        <x:v>High</x:v>
      </x:c>
      <x:c r="W22" s="88" t="str">
        <x:v>DOI resolved in Crossref</x:v>
      </x:c>
      <x:c r="X22" s="88" t="str">
        <x:v>https://doi.org/10.1145/3265689.3265692</x:v>
      </x:c>
      <x:c r="Y22" s="88" t="str">
        <x:v>https://openalex.org/W2896711834</x:v>
      </x:c>
      <x:c r="Z22" s="88" t="str">
        <x:v>https://www.semanticscholar.org/paper/6d5eff0f4dcaf531a6129134119bc9613ce1b657</x:v>
      </x:c>
      <x:c r="AA22" s="88" t="str">
        <x:v>Blockchain and IoT based food traceability system for smart agriculture</x:v>
      </x:c>
      <x:c r="AB22" s="88" t="str">
        <x:v>10.1145/3265689.3265692</x:v>
      </x:c>
      <x:c r="AC22" s="88" t="str">
        <x:v>inproceedings</x:v>
      </x:c>
      <x:c r="AD22" s="88" t="str">
        <x:v>OA location did not return a PDF</x:v>
      </x:c>
    </x:row>
    <x:row r="23" ht="48" customHeight="1">
      <x:c r="A23" s="89" t="n">
        <x:v>22</x:v>
      </x:c>
      <x:c r="B23" s="86" t="str">
        <x:v>haque2024scalable</x:v>
      </x:c>
      <x:c r="C23" s="88" t="str">
        <x:v>Object detection and classification from compressed video streams</x:v>
      </x:c>
      <x:c r="D23" s="88" t="str">
        <x:v>Suvarna Joshi; Stephen Ojo; Sangeeta Yadav; Preeti Gulia; Nasib Singh Gill; Hassan Alsberi; Ali Rizwan; Mohamed M. Hassan</x:v>
      </x:c>
      <x:c r="E23" s="89" t="n">
        <x:v>2023</x:v>
      </x:c>
      <x:c r="F23" s="88" t="str">
        <x:v>Expert Systems</x:v>
      </x:c>
      <x:c r="G23" s="88" t="str">
        <x:v>Wiley</x:v>
      </x:c>
      <x:c r="H23" s="88" t="str">
        <x:v>journal-article</x:v>
      </x:c>
      <x:c r="I23" s="86" t="str">
        <x:v>10.1111/exsy.13382</x:v>
      </x:c>
      <x:c r="J23" s="86" t="str">
        <x:v>https://doi.org/10.1111/exsy.13382</x:v>
      </x:c>
      <x:c r="K23" s="88" t="str">
        <x:v>Abstract Video Analytics is widely used by the internet‐based platforms to govern the mass consumption of videos. Traditionally, it is carried out from the decoded format of the videos. This requires the analytics server to perform both decoding and analytics computation. This process can be made fast and efficient if performed over the compressed format of the videos as it reduces the decoding stress over the analytics server. The field of video analytics from the binarized formats using modern deep learning techniques is still emerging and needs further exploration. This proposed work is based on the same notion. In this work, two analytics tasks that is, classification and object detection are carried out from the binarized videos. The binarized formats are produced by using an already‐designed end‐to‐end video compression network. The experiments have been carried out over standard datasets. The proposed MobileNetv2‐based classification network shows an accuracy of 66% over the YouTube UGC dataset and the YOLOX‐S‐based detection network shows mAP of 45% over IMAGENet datasets. The proposed work shows competitiveness and improvement in the detection outcomes on compressed data and also provides further motivation for the adoption of deep learning‐based video compression in practical analytics domains.</x:v>
      </x:c>
      <x:c r="L23" s="88" t="str">
        <x:v>Available</x:v>
      </x:c>
      <x:c r="M23" s="88" t="str">
        <x:v>Crossref</x:v>
      </x:c>
      <x:c r="N23" s="88" t="str">
        <x:v>Video Surveillance and Tracking Methods; Image Enhancement Techniques; Human Pose and Action Recognition; Computer Science</x:v>
      </x:c>
      <x:c r="O23" s="90" t="n">
        <x:v>4</x:v>
      </x:c>
      <x:c r="P23" s="90" t="n">
        <x:v>36</x:v>
      </x:c>
      <x:c r="Q23" s="86" t="str">
        <x:v>bronze</x:v>
      </x:c>
      <x:c r="R23" s="87" t="b">
        <x:v>1</x:v>
      </x:c>
      <x:c r="S23" s="88" t="str">
        <x:v>http://onlinelibrary.wiley.com/termsAndConditions#vor</x:v>
      </x:c>
      <x:c r="T23" s="88" t="str">
        <x:v>Publication matched; an OA landing page or metadata record was found, but no downloadable PDF was retrieved</x:v>
      </x:c>
      <x:c r="U23" s="88" t="str">
        <x:v>matched</x:v>
      </x:c>
      <x:c r="V23" s="88" t="str">
        <x:v>High</x:v>
      </x:c>
      <x:c r="W23" s="88" t="str">
        <x:v>DOI resolved in Crossref</x:v>
      </x:c>
      <x:c r="X23" s="88" t="str">
        <x:v>https://doi.org/10.1111/exsy.13382</x:v>
      </x:c>
      <x:c r="Y23" s="88" t="str">
        <x:v>https://openalex.org/W4382362033</x:v>
      </x:c>
      <x:c r="Z23" s="88" t="str">
        <x:v>https://www.semanticscholar.org/paper/ffcc1162e197832d3a9eccc9a01d0e89c8096994</x:v>
      </x:c>
      <x:c r="AA23" s="88" t="str">
        <x:v>Conceptualizing smart city applications: Requirements, architecture, security issues, and emerging trends</x:v>
      </x:c>
      <x:c r="AB23" s="88" t="str">
        <x:v>10.1111/exsy.13382</x:v>
      </x:c>
      <x:c r="AC23" s="88" t="str">
        <x:v>article</x:v>
      </x:c>
      <x:c r="AD23" s="88" t="str">
        <x:v>OA location did not return a PDF</x:v>
      </x:c>
    </x:row>
    <x:row r="24" ht="48" customHeight="1">
      <x:c r="A24" s="89" t="n">
        <x:v>23</x:v>
      </x:c>
      <x:c r="B24" s="86" t="str">
        <x:v>rama2021systematic</x:v>
      </x:c>
      <x:c r="C24" s="88" t="str">
        <x:v>A review on different types of material joints fabricated by microwave hybrid heating method</x:v>
      </x:c>
      <x:c r="D24" s="88" t="str">
        <x:v>Parminder Singh; D.R. Prajapati; Shankar Sehgal</x:v>
      </x:c>
      <x:c r="E24" s="89" t="n">
        <x:v>2022</x:v>
      </x:c>
      <x:c r="F24" s="88" t="str">
        <x:v>Materials Today: Proceedings</x:v>
      </x:c>
      <x:c r="G24" s="88" t="str">
        <x:v>Elsevier BV</x:v>
      </x:c>
      <x:c r="H24" s="88" t="str">
        <x:v>journal-article</x:v>
      </x:c>
      <x:c r="I24" s="86" t="str">
        <x:v>10.1016/j.matpr.2021.06.253</x:v>
      </x:c>
      <x:c r="J24" s="86" t="str">
        <x:v>https://doi.org/10.1016/j.matpr.2021.06.253</x:v>
      </x:c>
      <x:c r="K24" s="88" t="str">
        <x:v>Abstract In this paper, literature review on similar and dissimilar joints through microwave hybrid heating has been discussed briefly. A lot of restrictions of the conventional joining methods can be eliminated through microwave hybrid heating joining technique. Microwave hybrid heating also has one more advantage over other conventional processes that it is environment friendly and has good prospects of being adopted in industrial automation. This study discusses impact of different factors on properties of joints formed by microwave hybrid heating. Present study will also give directions to researchers about existing problems and future scope of this joining technique.</x:v>
      </x:c>
      <x:c r="L24" s="88" t="str">
        <x:v>Available</x:v>
      </x:c>
      <x:c r="M24" s="88" t="str">
        <x:v>Semantic Scholar</x:v>
      </x:c>
      <x:c r="N24" s="88" t="str">
        <x:v>Microwave-Assisted Synthesis and Applications; Advanced ceramic materials synthesis; Aluminum Alloys Composites Properties; Materials Science</x:v>
      </x:c>
      <x:c r="O24" s="90" t="n">
        <x:v>8</x:v>
      </x:c>
      <x:c r="P24" s="90" t="n">
        <x:v>45</x:v>
      </x:c>
      <x:c r="Q24" s="86" t="str">
        <x:v>closed</x:v>
      </x:c>
      <x:c r="R24" s="87" t="b">
        <x:v>0</x:v>
      </x:c>
      <x:c r="S24" s="88" t="str">
        <x:v>https://www.elsevier.com/tdm/userlicense/1.0/; https://www.elsevier.com/legal/tdmrep-license</x:v>
      </x:c>
      <x:c r="T24" s="88" t="str">
        <x:v>Publication matched, but no lawful direct open-access PDF was found</x:v>
      </x:c>
      <x:c r="U24" s="88" t="str">
        <x:v>matched_no_oa_pdf</x:v>
      </x:c>
      <x:c r="V24" s="88" t="str">
        <x:v>High</x:v>
      </x:c>
      <x:c r="W24" s="88" t="str">
        <x:v>DOI resolved in Crossref</x:v>
      </x:c>
      <x:c r="X24" s="88" t="str">
        <x:v>https://doi.org/10.1016/j.matpr.2021.06.253</x:v>
      </x:c>
      <x:c r="Y24" s="88" t="str">
        <x:v>https://openalex.org/W3175867934</x:v>
      </x:c>
      <x:c r="Z24" s="88" t="str">
        <x:v>https://www.semanticscholar.org/paper/0afe241b5fd5b72d824d0936e3c66a3a87af232f</x:v>
      </x:c>
      <x:c r="AA24" s="88" t="str">
        <x:v>A systematic review of blockchain technology for agriculture supply chain management</x:v>
      </x:c>
      <x:c r="AB24" s="88" t="str">
        <x:v>10.1016/j.matpr.2021.06.253</x:v>
      </x:c>
      <x:c r="AC24" s="88" t="str">
        <x:v>article</x:v>
      </x:c>
      <x:c r="AD24" s="88" t="str"/>
    </x:row>
    <x:row r="25" ht="48" customHeight="1">
      <x:c r="A25" s="89" t="n">
        <x:v>24</x:v>
      </x:c>
      <x:c r="B25" s="86" t="str">
        <x:v>patil2022blockchain</x:v>
      </x:c>
      <x:c r="C25" s="88" t="str">
        <x:v>A framework for blockchain-based smart farming system using IoT</x:v>
      </x:c>
      <x:c r="D25" s="88" t="str">
        <x:v>Patil, Akshay S. and Tama, Bayu Adhi and Park, YoungHo and Rhee, Kyung-Hyune</x:v>
      </x:c>
      <x:c r="E25" s="89" t="n">
        <x:v>2022</x:v>
      </x:c>
      <x:c r="F25" s="88" t="str">
        <x:v>IEEE Access</x:v>
      </x:c>
      <x:c r="G25" s="88" t="str"/>
      <x:c r="H25" s="88" t="str">
        <x:v>article</x:v>
      </x:c>
      <x:c r="I25" s="86" t="str">
        <x:v>10.1109/access.2022.3142563</x:v>
      </x:c>
      <x:c r="J25" s="86" t="str">
        <x:v>https://doi.org/10.1109/access.2022.3142563</x:v>
      </x:c>
      <x:c r="K25" s="88" t="str"/>
      <x:c r="L25" s="88" t="str">
        <x:v>Not found in Crossref/OpenAlex/Semantic Scholar</x:v>
      </x:c>
      <x:c r="M25" s="88" t="str"/>
      <x:c r="N25" s="88" t="str"/>
      <x:c r="O25" s="90"/>
      <x:c r="P25" s="90"/>
      <x:c r="Q25" s="86" t="str">
        <x:v>unknown</x:v>
      </x:c>
      <x:c r="R25" s="86"/>
      <x:c r="S25" s="88" t="str"/>
      <x:c r="T25" s="88" t="str">
        <x:v>Bibliographic record could not be reliably resolved</x:v>
      </x:c>
      <x:c r="U25" s="88" t="str">
        <x:v>unresolved</x:v>
      </x:c>
      <x:c r="V25" s="88" t="str">
        <x:v>Unverified</x:v>
      </x:c>
      <x:c r="W25" s="88" t="str">
        <x:v>No reliable external match</x:v>
      </x:c>
      <x:c r="X25" s="88" t="str"/>
      <x:c r="Y25" s="88" t="str"/>
      <x:c r="Z25" s="88" t="str"/>
      <x:c r="AA25" s="88" t="str">
        <x:v>A framework for blockchain-based smart farming system using IoT</x:v>
      </x:c>
      <x:c r="AB25" s="88" t="str">
        <x:v>10.1109/access.2022.3142563</x:v>
      </x:c>
      <x:c r="AC25" s="88" t="str">
        <x:v>article</x:v>
      </x:c>
      <x:c r="AD25" s="88" t="str"/>
    </x:row>
    <x:row r="26" ht="48" customHeight="1">
      <x:c r="A26" s="89" t="n">
        <x:v>25</x:v>
      </x:c>
      <x:c r="B26" s="86" t="str">
        <x:v>li2018lossless</x:v>
      </x:c>
      <x:c r="C26" s="88" t="str">
        <x:v>5G Internet of Things: A survey</x:v>
      </x:c>
      <x:c r="D26" s="88" t="str">
        <x:v>Shancang Li; Li Da Xu; Shanshan Zhao</x:v>
      </x:c>
      <x:c r="E26" s="89" t="n">
        <x:v>2018</x:v>
      </x:c>
      <x:c r="F26" s="88" t="str">
        <x:v>Journal of Industrial Information Integration</x:v>
      </x:c>
      <x:c r="G26" s="88" t="str">
        <x:v>Elsevier BV</x:v>
      </x:c>
      <x:c r="H26" s="88" t="str">
        <x:v>journal-article</x:v>
      </x:c>
      <x:c r="I26" s="86" t="str">
        <x:v>10.1016/j.jii.2018.01.005</x:v>
      </x:c>
      <x:c r="J26" s="86" t="str">
        <x:v>https://doi.org/10.1016/j.jii.2018.01.005</x:v>
      </x:c>
      <x:c r="K26" s="88" t="str">
        <x:v>Abstract The existing 4G networks have been widely used in the Internet of Things (IoT) and is continuously evolving to match the needs of the future Internet of Things (IoT) applications. The 5G networks are expected to massive expand today’s IoT that can boost cellular operations, IoT security, and network challenges and driving the Internet future to the edge. The existing IoT solutions are facing a number of challenges such as large number of connection of nodes, security, and new standards. This paper reviews the current research state-of-the-art of 5G IoT, key enabling technologies, and main research trends and challenges in 5G IoT.</x:v>
      </x:c>
      <x:c r="L26" s="88" t="str">
        <x:v>Available</x:v>
      </x:c>
      <x:c r="M26" s="88" t="str">
        <x:v>Semantic Scholar</x:v>
      </x:c>
      <x:c r="N26" s="88" t="str">
        <x:v>IoT and Edge/Fog Computing; IoT Networks and Protocols; Advanced Wireless Communication Technologies; Computer Science</x:v>
      </x:c>
      <x:c r="O26" s="90" t="n">
        <x:v>795</x:v>
      </x:c>
      <x:c r="P26" s="90" t="n">
        <x:v>79</x:v>
      </x:c>
      <x:c r="Q26" s="86" t="str">
        <x:v>green</x:v>
      </x:c>
      <x:c r="R26" s="87" t="b">
        <x:v>1</x:v>
      </x:c>
      <x:c r="S26" s="88" t="str">
        <x:v>https://www.elsevier.com/tdm/userlicense/1.0/</x:v>
      </x:c>
      <x:c r="T26" s="88" t="str">
        <x:v>Publication matched; an OA landing page or metadata record was found, but no downloadable PDF was retrieved</x:v>
      </x:c>
      <x:c r="U26" s="88" t="str">
        <x:v>matched</x:v>
      </x:c>
      <x:c r="V26" s="88" t="str">
        <x:v>High</x:v>
      </x:c>
      <x:c r="W26" s="88" t="str">
        <x:v>DOI resolved in Crossref</x:v>
      </x:c>
      <x:c r="X26" s="88" t="str">
        <x:v>https://doi.org/10.1016/j.jii.2018.01.005</x:v>
      </x:c>
      <x:c r="Y26" s="88" t="str">
        <x:v>https://openalex.org/W2790284307</x:v>
      </x:c>
      <x:c r="Z26" s="88" t="str">
        <x:v>https://www.semanticscholar.org/paper/9d9f24f3e85f3eef1c63fa12fff4abfd320cdd08</x:v>
      </x:c>
      <x:c r="AA26" s="88" t="str">
        <x:v>5G Internet of Things: A survey</x:v>
      </x:c>
      <x:c r="AB26" s="88" t="str">
        <x:v>10.1016/j.jii.2018.01.005</x:v>
      </x:c>
      <x:c r="AC26" s="88" t="str">
        <x:v>article</x:v>
      </x:c>
      <x:c r="AD26" s="88" t="str">
        <x:v>OA PDF download failed</x:v>
      </x:c>
    </x:row>
    <x:row r="27" ht="48" customHeight="1">
      <x:c r="A27" s="89" t="n">
        <x:v>26</x:v>
      </x:c>
      <x:c r="B27" s="86" t="str">
        <x:v>kjellsson2008adaptive</x:v>
      </x:c>
      <x:c r="C27" s="88" t="str">
        <x:v>Partial network coding</x:v>
      </x:c>
      <x:c r="D27" s="88" t="str">
        <x:v>Dan Wang; Qian Zhang; Jiangchuan Liu</x:v>
      </x:c>
      <x:c r="E27" s="89" t="n">
        <x:v>2008</x:v>
      </x:c>
      <x:c r="F27" s="88" t="str">
        <x:v>ACM Transactions on Sensor Networks</x:v>
      </x:c>
      <x:c r="G27" s="88" t="str">
        <x:v>Association for Computing Machinery (ACM)</x:v>
      </x:c>
      <x:c r="H27" s="88" t="str">
        <x:v>journal-article</x:v>
      </x:c>
      <x:c r="I27" s="86" t="str">
        <x:v>10.1145/1362542.1362545</x:v>
      </x:c>
      <x:c r="J27" s="86" t="str">
        <x:v>https://doi.org/10.1145/1362542.1362545</x:v>
      </x:c>
      <x:c r="K27" s="88" t="str">
        <x:v>Wireless sensor networks have been widely used for surveillance in harsh environments. In many such applications, the environmental data are continuously sensed, and data collection by a server is only performed occasionally. Hence, the sensor nodes have to temporarily store the data, and provide easy and on-hand access for the most updated data when the server approaches. Given the expensive server-to-sensor communications, the large amount of sensors and the limited storage space at each tiny sensor, continuous data collection becomes a challenging problem. In this article, we present partial network coding (PNC) as a generic tool for these applications. PNC generalizes the existing network coding (NC) paradigm, an elegant solution for ubiquitous data distribution and collection. Yet PNC allows efficient storage replacement for continuous data, which is a deficiency of the conventional NC. We prove that the performance of PNC is quite close to NC, except for a sub-linear overhead on storage and communications. We then address a set of practical concerns toward PNC-based continuous data collection in sensor networks. Its feasibility and superiority are further demonstrated through simulation results.</x:v>
      </x:c>
      <x:c r="L27" s="88" t="str">
        <x:v>Available</x:v>
      </x:c>
      <x:c r="M27" s="88" t="str">
        <x:v>Crossref</x:v>
      </x:c>
      <x:c r="N27" s="88" t="str">
        <x:v>Cooperative Communication and Network Coding; Mobile Ad Hoc Networks; Opportunistic and Delay-Tolerant Networks; Computer Science</x:v>
      </x:c>
      <x:c r="O27" s="90" t="n">
        <x:v>22</x:v>
      </x:c>
      <x:c r="P27" s="90" t="n">
        <x:v>31</x:v>
      </x:c>
      <x:c r="Q27" s="86" t="str">
        <x:v>closed</x:v>
      </x:c>
      <x:c r="R27" s="87" t="b">
        <x:v>0</x:v>
      </x:c>
      <x:c r="S27" s="88" t="str">
        <x:v>https://www.acm.org/publications/policies/copyright_policy#Background</x:v>
      </x:c>
      <x:c r="T27" s="88" t="str">
        <x:v>Publication matched, but no lawful direct open-access PDF was found</x:v>
      </x:c>
      <x:c r="U27" s="88" t="str">
        <x:v>matched_no_oa_pdf</x:v>
      </x:c>
      <x:c r="V27" s="88" t="str">
        <x:v>High</x:v>
      </x:c>
      <x:c r="W27" s="88" t="str">
        <x:v>DOI resolved in Crossref</x:v>
      </x:c>
      <x:c r="X27" s="88" t="str">
        <x:v>https://doi.org/10.1145/1362542.1362545</x:v>
      </x:c>
      <x:c r="Y27" s="88" t="str">
        <x:v>https://openalex.org/W2001769497</x:v>
      </x:c>
      <x:c r="Z27" s="88" t="str">
        <x:v>https://www.semanticscholar.org/paper/631ac02eb3af9ae77bf2eaf7740c24df7d783de6</x:v>
      </x:c>
      <x:c r="AA27" s="88" t="str">
        <x:v>Adaptive sampling for sensor networks</x:v>
      </x:c>
      <x:c r="AB27" s="88" t="str">
        <x:v>10.1145/1362542.1362545</x:v>
      </x:c>
      <x:c r="AC27" s="88" t="str">
        <x:v>article</x:v>
      </x:c>
      <x:c r="AD27" s="88" t="str"/>
    </x:row>
    <x:row r="28" ht="48" customHeight="1">
      <x:c r="A28" s="89" t="n">
        <x:v>27</x:v>
      </x:c>
      <x:c r="B28" s="86" t="str">
        <x:v>ding1996remainder</x:v>
      </x:c>
      <x:c r="C28" s="88" t="str">
        <x:v>Thermodynamics and Statistical Physics</x:v>
      </x:c>
      <x:c r="D28" s="88" t="str">
        <x:v>Ding, Cunsheng and Pei, Dingyi and Salomaa, Arto</x:v>
      </x:c>
      <x:c r="E28" s="89" t="n">
        <x:v>1995</x:v>
      </x:c>
      <x:c r="F28" s="88" t="str">
        <x:v>World Scientific Publishing</x:v>
      </x:c>
      <x:c r="G28" s="88" t="str">
        <x:v>WORLD SCIENTIFIC</x:v>
      </x:c>
      <x:c r="H28" s="88" t="str">
        <x:v>proceedings</x:v>
      </x:c>
      <x:c r="I28" s="86" t="str">
        <x:v>10.1142/2893</x:v>
      </x:c>
      <x:c r="J28" s="86" t="str">
        <x:v>https://doi.org/10.1142/2893</x:v>
      </x:c>
      <x:c r="K28" s="88" t="str"/>
      <x:c r="L28" s="88" t="str">
        <x:v>Not found in Crossref/OpenAlex/Semantic Scholar</x:v>
      </x:c>
      <x:c r="M28" s="88" t="str"/>
      <x:c r="N28" s="88" t="str">
        <x:v>Advanced Thermodynamics and Statistical Mechanics; Statistical Mechanics and Entropy</x:v>
      </x:c>
      <x:c r="O28" s="90" t="n">
        <x:v>0</x:v>
      </x:c>
      <x:c r="P28" s="90" t="n">
        <x:v>0</x:v>
      </x:c>
      <x:c r="Q28" s="86" t="str">
        <x:v>closed</x:v>
      </x:c>
      <x:c r="R28" s="87" t="b">
        <x:v>0</x:v>
      </x:c>
      <x:c r="S28" s="88" t="str"/>
      <x:c r="T28" s="88" t="str">
        <x:v>Publication matched, but no lawful direct open-access PDF was found</x:v>
      </x:c>
      <x:c r="U28" s="88" t="str">
        <x:v>matched_no_oa_pdf</x:v>
      </x:c>
      <x:c r="V28" s="88" t="str">
        <x:v>High</x:v>
      </x:c>
      <x:c r="W28" s="88" t="str">
        <x:v>DOI resolved in Crossref</x:v>
      </x:c>
      <x:c r="X28" s="88" t="str">
        <x:v>https://doi.org/10.1142/2893</x:v>
      </x:c>
      <x:c r="Y28" s="88" t="str">
        <x:v>https://openalex.org/W4206816452</x:v>
      </x:c>
      <x:c r="Z28" s="88" t="str"/>
      <x:c r="AA28" s="88" t="str">
        <x:v>Chinese Remainder Theorem: Applications in Computing, Coding, Cryptography</x:v>
      </x:c>
      <x:c r="AB28" s="88" t="str">
        <x:v>10.1142/2893</x:v>
      </x:c>
      <x:c r="AC28" s="88" t="str">
        <x:v>book</x:v>
      </x:c>
      <x:c r="AD28" s="88" t="str"/>
    </x:row>
    <x:row r="29" ht="48" customHeight="1">
      <x:c r="A29" s="89" t="n">
        <x:v>28</x:v>
      </x:c>
      <x:c r="B29" s="86" t="str">
        <x:v>garner1959residue</x:v>
      </x:c>
      <x:c r="C29" s="88" t="str">
        <x:v>The Residue Number System</x:v>
      </x:c>
      <x:c r="D29" s="88" t="str">
        <x:v>Harvey L. Garner</x:v>
      </x:c>
      <x:c r="E29" s="89" t="n">
        <x:v>1959</x:v>
      </x:c>
      <x:c r="F29" s="88" t="str">
        <x:v>IEEE Transactions on Electronic Computers</x:v>
      </x:c>
      <x:c r="G29" s="88" t="str">
        <x:v>Institute of Electrical and Electronics Engineers (IEEE)</x:v>
      </x:c>
      <x:c r="H29" s="88" t="str">
        <x:v>journal-article</x:v>
      </x:c>
      <x:c r="I29" s="86" t="str">
        <x:v>10.1109/tec.1959.5219515</x:v>
      </x:c>
      <x:c r="J29" s="86" t="str">
        <x:v>https://doi.org/10.1109/tec.1959.5219515</x:v>
      </x:c>
      <x:c r="K29" s="88" t="str">
        <x:v>A novel number system called the residue number system is developed from the linear congruence viewpoint. The residue number system is of particular interest because the arithmetic operations of addition, subtraction and multiplication may be executed in the same period of time without the need for carry. The main difficulties of the residue code pertain to the determination of the relative magnitude of two residue representations, and to the division process. A discussion of the arithmetic operations and the conversion process required to convert from a residue code to a weighted code is given. It is concluded that in its present state the residue code is probably not suitable for general purpose computation but is suitable for a special class of control problems. Further research in both components and arithmetic is required if a residue code suitable for general purpose computation is to be obtained.</x:v>
      </x:c>
      <x:c r="L29" s="88" t="str">
        <x:v>Available</x:v>
      </x:c>
      <x:c r="M29" s="88" t="str">
        <x:v>OpenAlex</x:v>
      </x:c>
      <x:c r="N29" s="88" t="str">
        <x:v>Cryptography and Residue Arithmetic; Cryptographic Implementations and Security; Security and Verification in Computing</x:v>
      </x:c>
      <x:c r="O29" s="90" t="n">
        <x:v>272</x:v>
      </x:c>
      <x:c r="P29" s="90" t="n">
        <x:v>7</x:v>
      </x:c>
      <x:c r="Q29" s="86" t="str">
        <x:v>closed</x:v>
      </x:c>
      <x:c r="R29" s="87" t="b">
        <x:v>0</x:v>
      </x:c>
      <x:c r="S29" s="88" t="str">
        <x:v>https://ieeexplore.ieee.org/Xplorehelp/downloads/license-information/IEEE.html</x:v>
      </x:c>
      <x:c r="T29" s="88" t="str">
        <x:v>Publication matched, but no lawful direct open-access PDF was found</x:v>
      </x:c>
      <x:c r="U29" s="88" t="str">
        <x:v>matched_no_oa_pdf</x:v>
      </x:c>
      <x:c r="V29" s="88" t="str">
        <x:v>High</x:v>
      </x:c>
      <x:c r="W29" s="88" t="str">
        <x:v>DOI resolved in Crossref</x:v>
      </x:c>
      <x:c r="X29" s="88" t="str">
        <x:v>https://doi.org/10.1109/tec.1959.5219515</x:v>
      </x:c>
      <x:c r="Y29" s="88" t="str">
        <x:v>https://openalex.org/W2172184773</x:v>
      </x:c>
      <x:c r="Z29" s="88" t="str"/>
      <x:c r="AA29" s="88" t="str">
        <x:v>The residue number system</x:v>
      </x:c>
      <x:c r="AB29" s="88" t="str">
        <x:v>10.1109/tec.1959.5219515</x:v>
      </x:c>
      <x:c r="AC29" s="88" t="str">
        <x:v>article</x:v>
      </x:c>
      <x:c r="AD29" s="88" t="str"/>
    </x:row>
    <x:row r="30" ht="48" customHeight="1">
      <x:c r="A30" s="89" t="n">
        <x:v>29</x:v>
      </x:c>
      <x:c r="B30" s="86" t="str">
        <x:v>goldreich1999china</x:v>
      </x:c>
      <x:c r="C30" s="88" t="str">
        <x:v>Chinese remaindering with errors</x:v>
      </x:c>
      <x:c r="D30" s="88" t="str">
        <x:v>Goldreich, Oded and Ron, Dana and Sudan, Madhu</x:v>
      </x:c>
      <x:c r="E30" s="89" t="n">
        <x:v>1999</x:v>
      </x:c>
      <x:c r="F30" s="88" t="str">
        <x:v>Proceedings of the 31st Annual ACM Symposium on Theory of Computing</x:v>
      </x:c>
      <x:c r="G30" s="88" t="str"/>
      <x:c r="H30" s="88" t="str">
        <x:v>inproceedings</x:v>
      </x:c>
      <x:c r="I30" s="86" t="str">
        <x:v>10.1145/301250.301308</x:v>
      </x:c>
      <x:c r="J30" s="86" t="str">
        <x:v>https://doi.org/10.1145/301250.301308</x:v>
      </x:c>
      <x:c r="K30" s="88" t="str"/>
      <x:c r="L30" s="88" t="str">
        <x:v>Not found in Crossref/OpenAlex/Semantic Scholar</x:v>
      </x:c>
      <x:c r="M30" s="88" t="str"/>
      <x:c r="N30" s="88" t="str"/>
      <x:c r="O30" s="90"/>
      <x:c r="P30" s="90"/>
      <x:c r="Q30" s="86" t="str">
        <x:v>unknown</x:v>
      </x:c>
      <x:c r="R30" s="86"/>
      <x:c r="S30" s="88" t="str"/>
      <x:c r="T30" s="88" t="str">
        <x:v>Bibliographic record could not be reliably resolved</x:v>
      </x:c>
      <x:c r="U30" s="88" t="str">
        <x:v>unresolved</x:v>
      </x:c>
      <x:c r="V30" s="88" t="str">
        <x:v>Unverified</x:v>
      </x:c>
      <x:c r="W30" s="88" t="str">
        <x:v>No reliable external match</x:v>
      </x:c>
      <x:c r="X30" s="88" t="str"/>
      <x:c r="Y30" s="88" t="str"/>
      <x:c r="Z30" s="88" t="str"/>
      <x:c r="AA30" s="88" t="str">
        <x:v>Chinese remaindering with errors</x:v>
      </x:c>
      <x:c r="AB30" s="88" t="str">
        <x:v>10.1145/301250.301308</x:v>
      </x:c>
      <x:c r="AC30" s="88" t="str">
        <x:v>inproceedings</x:v>
      </x:c>
      <x:c r="AD30" s="88" t="str"/>
    </x:row>
    <x:row r="31" ht="48" customHeight="1">
      <x:c r="A31" s="89" t="n">
        <x:v>30</x:v>
      </x:c>
      <x:c r="B31" s="86" t="str">
        <x:v>marcelloni2009energy</x:v>
      </x:c>
      <x:c r="C31" s="88" t="str">
        <x:v>A Simple Algorithm for Data Compression in Wireless Sensor Networks</x:v>
      </x:c>
      <x:c r="D31" s="88" t="str">
        <x:v>F. Marcelloni; M. Vecchio</x:v>
      </x:c>
      <x:c r="E31" s="89" t="n">
        <x:v>2008</x:v>
      </x:c>
      <x:c r="F31" s="88" t="str">
        <x:v>IEEE Communications Letters</x:v>
      </x:c>
      <x:c r="G31" s="88" t="str">
        <x:v>Institute of Electrical and Electronics Engineers (IEEE)</x:v>
      </x:c>
      <x:c r="H31" s="88" t="str">
        <x:v>journal-article</x:v>
      </x:c>
      <x:c r="I31" s="86" t="str">
        <x:v>10.1109/lcomm.2008.080300</x:v>
      </x:c>
      <x:c r="J31" s="86" t="str">
        <x:v>https://doi.org/10.1109/lcomm.2008.080300</x:v>
      </x:c>
      <x:c r="K31" s="88" t="str">
        <x:v>Power saving is a critical issue in wireless sensor networks (WSNs) since sensor nodes are powered by batteries which cannot be generally changed or recharged. As radio communication is often the main cause of energy consumption, extension of sensor node lifetime is generally achieved by reducing transmissions/receptions of data, for instance through data compression. Exploiting the natural correlation that exists in data typically collected by WSNs and the principles of entropy compression, in this Letter we propose a simple and efficient data compression algorithm particularly suited to be used on available commercial nodes of a WSN, where energy, memory and computational resources are very limited. Some experimental results and comparisons with, to the best of our knowledge, the only lossless compression algorithm previously proposed in the literature to be embedded in sensor nodes and with two well- known compression algorithms are shown and discussed.</x:v>
      </x:c>
      <x:c r="L31" s="88" t="str">
        <x:v>Available</x:v>
      </x:c>
      <x:c r="M31" s="88" t="str">
        <x:v>OpenAlex</x:v>
      </x:c>
      <x:c r="N31" s="88" t="str">
        <x:v>Energy Efficient Wireless Sensor Networks; Energy Harvesting in Wireless Networks; IoT-based Smart Home Systems; Computer Science</x:v>
      </x:c>
      <x:c r="O31" s="90" t="n">
        <x:v>183</x:v>
      </x:c>
      <x:c r="P31" s="90" t="n">
        <x:v>15</x:v>
      </x:c>
      <x:c r="Q31" s="86" t="str">
        <x:v>closed</x:v>
      </x:c>
      <x:c r="R31" s="87" t="b">
        <x:v>0</x:v>
      </x:c>
      <x:c r="S31" s="88" t="str">
        <x:v>https://ieeexplore.ieee.org/Xplorehelp/downloads/license-information/IEEE.html</x:v>
      </x:c>
      <x:c r="T31" s="88" t="str">
        <x:v>Publication matched, but no lawful direct open-access PDF was found</x:v>
      </x:c>
      <x:c r="U31" s="88" t="str">
        <x:v>matched_no_oa_pdf</x:v>
      </x:c>
      <x:c r="V31" s="88" t="str">
        <x:v>High</x:v>
      </x:c>
      <x:c r="W31" s="88" t="str">
        <x:v>DOI resolved in Crossref</x:v>
      </x:c>
      <x:c r="X31" s="88" t="str">
        <x:v>https://doi.org/10.1109/lcomm.2008.080300</x:v>
      </x:c>
      <x:c r="Y31" s="88" t="str">
        <x:v>https://openalex.org/W2148727316</x:v>
      </x:c>
      <x:c r="Z31" s="88" t="str">
        <x:v>https://www.semanticscholar.org/paper/4301478bec1f29bd2d52575e80576897c344c028</x:v>
      </x:c>
      <x:c r="AA31" s="88" t="str">
        <x:v>A simple algorithm for data compression in wireless sensor networks</x:v>
      </x:c>
      <x:c r="AB31" s="88" t="str">
        <x:v>10.1109/lcomm.2008.080300</x:v>
      </x:c>
      <x:c r="AC31" s="88" t="str">
        <x:v>article</x:v>
      </x:c>
      <x:c r="AD31" s="88" t="str"/>
    </x:row>
    <x:row r="32" ht="48" customHeight="1">
      <x:c r="A32" s="89" t="n">
        <x:v>31</x:v>
      </x:c>
      <x:c r="B32" s="86" t="str">
        <x:v>heinzelman2000energy</x:v>
      </x:c>
      <x:c r="C32" s="88" t="str">
        <x:v>Energy-efficient communication protocol for wireless microsensor networks</x:v>
      </x:c>
      <x:c r="D32" s="88" t="str">
        <x:v>W.R. Heinzelman; A. Chandrakasan; H. Balakrishnan</x:v>
      </x:c>
      <x:c r="E32" s="89" t="n">
        <x:v>2005</x:v>
      </x:c>
      <x:c r="F32" s="88" t="str">
        <x:v>Proceedings of the 33rd Annual Hawaii International Conference on System Sciences</x:v>
      </x:c>
      <x:c r="G32" s="88" t="str">
        <x:v>IEEE Comput. Soc</x:v>
      </x:c>
      <x:c r="H32" s="88" t="str">
        <x:v>proceedings-article</x:v>
      </x:c>
      <x:c r="I32" s="86" t="str">
        <x:v>10.1109/hicss.2000.926982</x:v>
      </x:c>
      <x:c r="J32" s="86" t="str">
        <x:v>https://doi.org/10.1109/hicss.2000.926982</x:v>
      </x:c>
      <x:c r="K32" s="88" t="str">
        <x:v>Wireless distributed microsensor systems will enable the reliable monitoring of a variety of environments for both civil and military applications. In this paper, we look at communication protocols, which can have significant impact on the overall energy dissipation of these networks. Based on our findings that the conventional protocols of direct transmission, minimum-transmission-energy, multi-hop routing, and static clustering may not be optimal for sensor networks, we propose LEACH (Low-Energy Adaptive Clustering Hierarchy), a clustering-based protocol that utilizes randomized rotation of local cluster based station (cluster-heads) to evenly distribute the energy load among the sensors in the network. LEACH uses localized coordination to enable scalability and robustness for dynamic networks, and incorporates data fusion into the routing protocol to reduce the amount of information that must be transmitted to the base station. Simulations show the LEACH can achieve as much as a factor of 8 reduction in energy dissipation compared with conventional outing protocols. In addition, LEACH is able to distribute energy dissipation evenly throughout the sensors, doubling the useful system lifetime for the networks we simulated.</x:v>
      </x:c>
      <x:c r="L32" s="88" t="str">
        <x:v>Available</x:v>
      </x:c>
      <x:c r="M32" s="88" t="str">
        <x:v>OpenAlex</x:v>
      </x:c>
      <x:c r="N32" s="88" t="str">
        <x:v>Energy Efficient Wireless Sensor Networks; Energy Harvesting in Wireless Networks; Mobile Ad Hoc Networks</x:v>
      </x:c>
      <x:c r="O32" s="90" t="n">
        <x:v>7432</x:v>
      </x:c>
      <x:c r="P32" s="90" t="n">
        <x:v>17</x:v>
      </x:c>
      <x:c r="Q32" s="86" t="str">
        <x:v>closed</x:v>
      </x:c>
      <x:c r="R32" s="87" t="b">
        <x:v>0</x:v>
      </x:c>
      <x:c r="S32" s="88" t="str"/>
      <x:c r="T32" s="88" t="str">
        <x:v>Publication matched, but no lawful direct open-access PDF was found</x:v>
      </x:c>
      <x:c r="U32" s="88" t="str">
        <x:v>matched_no_oa_pdf</x:v>
      </x:c>
      <x:c r="V32" s="88" t="str">
        <x:v>High</x:v>
      </x:c>
      <x:c r="W32" s="88" t="str">
        <x:v>DOI resolved in Crossref</x:v>
      </x:c>
      <x:c r="X32" s="88" t="str">
        <x:v>https://doi.org/10.1109/hicss.2000.926982</x:v>
      </x:c>
      <x:c r="Y32" s="88" t="str">
        <x:v>https://openalex.org/W2106335692</x:v>
      </x:c>
      <x:c r="Z32" s="88" t="str"/>
      <x:c r="AA32" s="88" t="str">
        <x:v>Energy-efficient communication protocol for wireless microsensor networks</x:v>
      </x:c>
      <x:c r="AB32" s="88" t="str">
        <x:v>10.1109/hicss.2000.926982</x:v>
      </x:c>
      <x:c r="AC32" s="88" t="str">
        <x:v>inproceedings</x:v>
      </x:c>
      <x:c r="AD32" s="88" t="str"/>
    </x:row>
    <x:row r="33" ht="48" customHeight="1">
      <x:c r="A33" s="89" t="n">
        <x:v>32</x:v>
      </x:c>
      <x:c r="B33" s="86" t="str">
        <x:v>bor2016lorawan</x:v>
      </x:c>
      <x:c r="C33" s="88" t="str">
        <x:v>Do LoRa Low-Power Wide-Area Networks Scale?</x:v>
      </x:c>
      <x:c r="D33" s="88" t="str">
        <x:v>Martin C. Bor; Utz Roedig; Thiemo Voigt; Juan M. Alonso</x:v>
      </x:c>
      <x:c r="E33" s="89" t="n">
        <x:v>2016</x:v>
      </x:c>
      <x:c r="F33" s="88" t="str">
        <x:v>Proceedings of the 19th ACM International Conference on Modeling, Analysis and Simulation of Wireless and Mobile Systems</x:v>
      </x:c>
      <x:c r="G33" s="88" t="str">
        <x:v>ACM</x:v>
      </x:c>
      <x:c r="H33" s="88" t="str">
        <x:v>proceedings-article</x:v>
      </x:c>
      <x:c r="I33" s="86" t="str">
        <x:v>10.1145/2988287.2989163</x:v>
      </x:c>
      <x:c r="J33" s="86" t="str">
        <x:v>https://doi.org/10.1145/2988287.2989163</x:v>
      </x:c>
      <x:c r="K33" s="88" t="str">
        <x:v>New Internet of Things (IoT) technologies such as Long Range (LoRa) are emerging which enable power efficient wireless communication over very long distances. Devices typically communicate directly to a sink node which removes the need of constructing and maintaining a complex multi-hop network. Given the fact that a wide area is covered and that all devices communicate directly to a few sink nodes a large number of nodes have to share the communication medium. LoRa provides for this reason a range of communication options (centre frequency, spreading factor, bandwidth, coding rates) from which a transmitter can choose. Many combination settings are orthogonal and provide simultaneous collision free communications. Nevertheless, there is a limit regarding the number of transmitters a LoRa system can support. In this paper we investigate the capacity limits of LoRa networks. Using experiments we develop models describing LoRa communication behaviour. We use these models to parameterise a LoRa simulation to study scalability. Our experiments show that a typical smart city deployment can support 120 nodes per 3.8 ha, which is not sufficient for future IoT deployments. LoRa networks can scale quite well, however, if they use dynamic communication parameter selection and/or multiple sinks.</x:v>
      </x:c>
      <x:c r="L33" s="88" t="str">
        <x:v>Available</x:v>
      </x:c>
      <x:c r="M33" s="88" t="str">
        <x:v>OpenAlex</x:v>
      </x:c>
      <x:c r="N33" s="88" t="str">
        <x:v>IoT Networks and Protocols; Energy Harvesting in Wireless Networks; Wireless Body Area Networks; Computer Science</x:v>
      </x:c>
      <x:c r="O33" s="90" t="n">
        <x:v>667</x:v>
      </x:c>
      <x:c r="P33" s="90" t="n">
        <x:v>18</x:v>
      </x:c>
      <x:c r="Q33" s="86" t="str">
        <x:v>gold</x:v>
      </x:c>
      <x:c r="R33" s="87" t="b">
        <x:v>1</x:v>
      </x:c>
      <x:c r="S33" s="88" t="str">
        <x:v>https://creativecommons.org/licenses/by/4.0/</x:v>
      </x:c>
      <x:c r="T33" s="88" t="str">
        <x:v>Publication matched; an OA landing page or metadata record was found, but no downloadable PDF was retrieved</x:v>
      </x:c>
      <x:c r="U33" s="88" t="str">
        <x:v>matched</x:v>
      </x:c>
      <x:c r="V33" s="88" t="str">
        <x:v>High</x:v>
      </x:c>
      <x:c r="W33" s="88" t="str">
        <x:v>DOI resolved in Crossref</x:v>
      </x:c>
      <x:c r="X33" s="88" t="str">
        <x:v>https://doi.org/10.1145/2988287.2989163</x:v>
      </x:c>
      <x:c r="Y33" s="88" t="str">
        <x:v>https://openalex.org/W2525332113</x:v>
      </x:c>
      <x:c r="Z33" s="88" t="str">
        <x:v>https://www.semanticscholar.org/paper/a8dacf579e390dadd4ff8cadfb1ea80fafa670e1</x:v>
      </x:c>
      <x:c r="AA33" s="88" t="str">
        <x:v>Do LoRa Low-Power Wide-Area Networks Scale?</x:v>
      </x:c>
      <x:c r="AB33" s="88" t="str">
        <x:v>10.1145/2988287.2989163</x:v>
      </x:c>
      <x:c r="AC33" s="88" t="str">
        <x:v>inproceedings</x:v>
      </x:c>
      <x:c r="AD33" s="88" t="str">
        <x:v>OA PDF download failed</x:v>
      </x:c>
    </x:row>
    <x:row r="34" ht="48" customHeight="1">
      <x:c r="A34" s="89" t="n">
        <x:v>33</x:v>
      </x:c>
      <x:c r="B34" s="86" t="str">
        <x:v>li2020performance</x:v>
      </x:c>
      <x:c r="C34" s="88" t="str">
        <x:v>Performance analysis of LoRa networks for smart agriculture</x:v>
      </x:c>
      <x:c r="D34" s="88" t="str">
        <x:v>Li, Shancang and Li, Jie and Liu, Jia and Wang, Hao and Zhao, Shanshan</x:v>
      </x:c>
      <x:c r="E34" s="89" t="n">
        <x:v>2020</x:v>
      </x:c>
      <x:c r="F34" s="88" t="str">
        <x:v>IEEE Internet of Things Journal</x:v>
      </x:c>
      <x:c r="G34" s="88" t="str"/>
      <x:c r="H34" s="88" t="str">
        <x:v>article</x:v>
      </x:c>
      <x:c r="I34" s="86" t="str">
        <x:v>10.1109/jiot.2020.2999323</x:v>
      </x:c>
      <x:c r="J34" s="86" t="str">
        <x:v>https://doi.org/10.1109/jiot.2020.2999323</x:v>
      </x:c>
      <x:c r="K34" s="88" t="str"/>
      <x:c r="L34" s="88" t="str">
        <x:v>Not found in Crossref/OpenAlex/Semantic Scholar</x:v>
      </x:c>
      <x:c r="M34" s="88" t="str"/>
      <x:c r="N34" s="88" t="str"/>
      <x:c r="O34" s="90"/>
      <x:c r="P34" s="90"/>
      <x:c r="Q34" s="86" t="str">
        <x:v>unknown</x:v>
      </x:c>
      <x:c r="R34" s="86"/>
      <x:c r="S34" s="88" t="str"/>
      <x:c r="T34" s="88" t="str">
        <x:v>Bibliographic record could not be reliably resolved</x:v>
      </x:c>
      <x:c r="U34" s="88" t="str">
        <x:v>unresolved</x:v>
      </x:c>
      <x:c r="V34" s="88" t="str">
        <x:v>Unverified</x:v>
      </x:c>
      <x:c r="W34" s="88" t="str">
        <x:v>No reliable external match</x:v>
      </x:c>
      <x:c r="X34" s="88" t="str"/>
      <x:c r="Y34" s="88" t="str"/>
      <x:c r="Z34" s="88" t="str"/>
      <x:c r="AA34" s="88" t="str">
        <x:v>Performance analysis of LoRa networks for smart agriculture</x:v>
      </x:c>
      <x:c r="AB34" s="88" t="str">
        <x:v>10.1109/jiot.2020.2999323</x:v>
      </x:c>
      <x:c r="AC34" s="88" t="str">
        <x:v>article</x:v>
      </x:c>
      <x:c r="AD34" s="88" t="str"/>
    </x:row>
    <x:row r="35" ht="48" customHeight="1">
      <x:c r="A35" s="89" t="n">
        <x:v>34</x:v>
      </x:c>
      <x:c r="B35" s="86" t="str">
        <x:v>raj2017comprehensive</x:v>
      </x:c>
      <x:c r="C35" s="88" t="str">
        <x:v>A comprehensive study on LoRa technology for wireless sensor networks</x:v>
      </x:c>
      <x:c r="D35" s="88" t="str">
        <x:v>Raj, Emilin Renu and Prasad, D. V.</x:v>
      </x:c>
      <x:c r="E35" s="89" t="n">
        <x:v>2017</x:v>
      </x:c>
      <x:c r="F35" s="88" t="str">
        <x:v>International Journal of Advanced Research in Computer Science</x:v>
      </x:c>
      <x:c r="G35" s="88" t="str"/>
      <x:c r="H35" s="88" t="str">
        <x:v>article</x:v>
      </x:c>
      <x:c r="I35" s="86" t="str"/>
      <x:c r="J35" s="86" t="str"/>
      <x:c r="K35" s="88" t="str"/>
      <x:c r="L35" s="88" t="str">
        <x:v>Not found in Crossref/OpenAlex/Semantic Scholar</x:v>
      </x:c>
      <x:c r="M35" s="88" t="str"/>
      <x:c r="N35" s="88" t="str"/>
      <x:c r="O35" s="90"/>
      <x:c r="P35" s="90"/>
      <x:c r="Q35" s="86" t="str">
        <x:v>unknown</x:v>
      </x:c>
      <x:c r="R35" s="86"/>
      <x:c r="S35" s="88" t="str"/>
      <x:c r="T35" s="88" t="str">
        <x:v>Bibliographic record could not be reliably resolved</x:v>
      </x:c>
      <x:c r="U35" s="88" t="str">
        <x:v>unresolved</x:v>
      </x:c>
      <x:c r="V35" s="88" t="str">
        <x:v>Unverified</x:v>
      </x:c>
      <x:c r="W35" s="88" t="str">
        <x:v>No reliable external match</x:v>
      </x:c>
      <x:c r="X35" s="88" t="str"/>
      <x:c r="Y35" s="88" t="str"/>
      <x:c r="Z35" s="88" t="str"/>
      <x:c r="AA35" s="88" t="str">
        <x:v>A comprehensive study on LoRa technology for wireless sensor networks</x:v>
      </x:c>
      <x:c r="AB35" s="88" t="str"/>
      <x:c r="AC35" s="88" t="str">
        <x:v>article</x:v>
      </x:c>
      <x:c r="AD35" s="88" t="str"/>
    </x:row>
    <x:row r="36" ht="48" customHeight="1">
      <x:c r="A36" s="89" t="n">
        <x:v>35</x:v>
      </x:c>
      <x:c r="B36" s="86" t="str">
        <x:v>akylidiz2005wirelessmesh</x:v>
      </x:c>
      <x:c r="C36" s="88" t="str">
        <x:v>A survey on wireless mesh networks</x:v>
      </x:c>
      <x:c r="D36" s="88" t="str">
        <x:v>I.F. Akyildiz; Xudong Wang</x:v>
      </x:c>
      <x:c r="E36" s="89" t="n">
        <x:v>2005</x:v>
      </x:c>
      <x:c r="F36" s="88" t="str">
        <x:v>IEEE Communications Magazine</x:v>
      </x:c>
      <x:c r="G36" s="88" t="str">
        <x:v>Institute of Electrical and Electronics Engineers (IEEE)</x:v>
      </x:c>
      <x:c r="H36" s="88" t="str">
        <x:v>journal-article</x:v>
      </x:c>
      <x:c r="I36" s="86" t="str">
        <x:v>10.1109/mcom.2005.1509968</x:v>
      </x:c>
      <x:c r="J36" s="86" t="str">
        <x:v>https://doi.org/10.1109/mcom.2005.1509968</x:v>
      </x:c>
      <x:c r="K36" s="88" t="str">
        <x:v>Wireless mesh networks (WMNs) have emerged as a key technology for next-generation wireless networking. Because of their advantages over other wireless networks, WMNs are undergoing rapid progress and inspiring numerous applications. However, many technical issues still exist in this field. In order to provide a better understanding of the research challenges of WMNs, this article presents a detailed investigation of current state-of-the-art protocols and algorithms for WMNs. Open research issues in all protocol layers are also discussed, with an objective to spark new research interests in this field.</x:v>
      </x:c>
      <x:c r="L36" s="88" t="str">
        <x:v>Available</x:v>
      </x:c>
      <x:c r="M36" s="88" t="str">
        <x:v>OpenAlex</x:v>
      </x:c>
      <x:c r="N36" s="88" t="str">
        <x:v>Mobile Ad Hoc Networks; Cooperative Communication and Network Coding; Opportunistic and Delay-Tolerant Networks; Computer Science</x:v>
      </x:c>
      <x:c r="O36" s="90" t="n">
        <x:v>1139</x:v>
      </x:c>
      <x:c r="P36" s="90" t="n">
        <x:v>11</x:v>
      </x:c>
      <x:c r="Q36" s="86" t="str">
        <x:v>closed</x:v>
      </x:c>
      <x:c r="R36" s="87" t="b">
        <x:v>0</x:v>
      </x:c>
      <x:c r="S36" s="88" t="str">
        <x:v>https://ieeexplore.ieee.org/Xplorehelp/downloads/license-information/IEEE.html</x:v>
      </x:c>
      <x:c r="T36" s="88" t="str">
        <x:v>Publication matched, but no lawful direct open-access PDF was found</x:v>
      </x:c>
      <x:c r="U36" s="88" t="str">
        <x:v>matched_no_oa_pdf</x:v>
      </x:c>
      <x:c r="V36" s="88" t="str">
        <x:v>High</x:v>
      </x:c>
      <x:c r="W36" s="88" t="str">
        <x:v>DOI resolved in Crossref</x:v>
      </x:c>
      <x:c r="X36" s="88" t="str">
        <x:v>https://doi.org/10.1109/mcom.2005.1509968</x:v>
      </x:c>
      <x:c r="Y36" s="88" t="str">
        <x:v>https://openalex.org/W2046980951</x:v>
      </x:c>
      <x:c r="Z36" s="88" t="str">
        <x:v>https://www.semanticscholar.org/paper/a6d8dcbaf05ebfe3e86455ecb34d4329d15a37cd</x:v>
      </x:c>
      <x:c r="AA36" s="88" t="str">
        <x:v>A survey on wireless mesh networks</x:v>
      </x:c>
      <x:c r="AB36" s="88" t="str">
        <x:v>10.1109/mcom.2005.1509968</x:v>
      </x:c>
      <x:c r="AC36" s="88" t="str">
        <x:v>article</x:v>
      </x:c>
      <x:c r="AD36" s="88" t="str"/>
    </x:row>
    <x:row r="37" ht="48" customHeight="1">
      <x:c r="A37" s="89" t="n">
        <x:v>36</x:v>
      </x:c>
      <x:c r="B37" s="86" t="str">
        <x:v>schmidt2010batman</x:v>
      </x:c>
      <x:c r="C37" s="88" t="str">
        <x:v>B.A.T.M.A.N. advanced: The new beginning of mesh networking</x:v>
      </x:c>
      <x:c r="D37" s="88" t="str">
        <x:v>Schmidt, Thomas and Wählisch, Matthias and Liers, Andreas and Jopen, Michael</x:v>
      </x:c>
      <x:c r="E37" s="89" t="n">
        <x:v>2010</x:v>
      </x:c>
      <x:c r="F37" s="88" t="str">
        <x:v>Proceedings of the 5th International Conference on Testbeds and Research Infrastructures for the Development of Networks and Communities</x:v>
      </x:c>
      <x:c r="G37" s="88" t="str"/>
      <x:c r="H37" s="88" t="str">
        <x:v>inproceedings</x:v>
      </x:c>
      <x:c r="I37" s="86" t="str">
        <x:v>10.4108/icst.tridentcom2010.8784</x:v>
      </x:c>
      <x:c r="J37" s="86" t="str">
        <x:v>https://doi.org/10.4108/icst.tridentcom2010.8784</x:v>
      </x:c>
      <x:c r="K37" s="88" t="str"/>
      <x:c r="L37" s="88" t="str">
        <x:v>Not found in Crossref/OpenAlex/Semantic Scholar</x:v>
      </x:c>
      <x:c r="M37" s="88" t="str"/>
      <x:c r="N37" s="88" t="str"/>
      <x:c r="O37" s="90"/>
      <x:c r="P37" s="90"/>
      <x:c r="Q37" s="86" t="str">
        <x:v>unknown</x:v>
      </x:c>
      <x:c r="R37" s="86"/>
      <x:c r="S37" s="88" t="str"/>
      <x:c r="T37" s="88" t="str">
        <x:v>Bibliographic record could not be reliably resolved</x:v>
      </x:c>
      <x:c r="U37" s="88" t="str">
        <x:v>unresolved</x:v>
      </x:c>
      <x:c r="V37" s="88" t="str">
        <x:v>Unverified</x:v>
      </x:c>
      <x:c r="W37" s="88" t="str">
        <x:v>No reliable external match</x:v>
      </x:c>
      <x:c r="X37" s="88" t="str"/>
      <x:c r="Y37" s="88" t="str"/>
      <x:c r="Z37" s="88" t="str"/>
      <x:c r="AA37" s="88" t="str">
        <x:v>B.A.T.M.A.N. advanced: The new beginning of mesh networking</x:v>
      </x:c>
      <x:c r="AB37" s="88" t="str">
        <x:v>10.4108/icst.tridentcom2010.8784</x:v>
      </x:c>
      <x:c r="AC37" s="88" t="str">
        <x:v>inproceedings</x:v>
      </x:c>
      <x:c r="AD37" s="88" t="str"/>
    </x:row>
    <x:row r="38" ht="48" customHeight="1">
      <x:c r="A38" s="89" t="n">
        <x:v>37</x:v>
      </x:c>
      <x:c r="B38" s="86" t="str">
        <x:v>chettri2020comprehensive</x:v>
      </x:c>
      <x:c r="C38" s="88" t="str">
        <x:v>A Comprehensive Survey on Internet of Things (IoT) Toward 5G Wireless Systems</x:v>
      </x:c>
      <x:c r="D38" s="88" t="str">
        <x:v>Lalit Chettri; Rabindranath Bera</x:v>
      </x:c>
      <x:c r="E38" s="89" t="n">
        <x:v>2020</x:v>
      </x:c>
      <x:c r="F38" s="88" t="str">
        <x:v>IEEE Internet of Things Journal</x:v>
      </x:c>
      <x:c r="G38" s="88" t="str">
        <x:v>Institute of Electrical and Electronics Engineers (IEEE)</x:v>
      </x:c>
      <x:c r="H38" s="88" t="str">
        <x:v>journal-article</x:v>
      </x:c>
      <x:c r="I38" s="86" t="str">
        <x:v>10.1109/jiot.2019.2948888</x:v>
      </x:c>
      <x:c r="J38" s="86" t="str">
        <x:v>https://doi.org/10.1109/jiot.2019.2948888</x:v>
      </x:c>
      <x:c r="K38" s="88" t="str">
        <x:v>Recently, wireless technologies have been growing actively all around the world. In the context of wireless technology, fifth-generation (5G) technology has become a most challenging and interesting topic in wireless research. This article provides an overview of the Internet of Things (IoT) in 5G wireless systems. IoT in the 5G system will be a game changer in the future generation. It will open a door for new wireless architecture and smart services. Recent cellular network LTE (4G) will not be sufficient and efficient to meet the demands of multiple device connectivity and high data rate, more bandwidth, low-latency quality of service (QoS), and low interference. To address these challenges, we consider 5G as the most promising technology. We provide a detailed overview of challenges and vision of various communication industries in 5G IoT systems. The different layers in 5G IoT systems are discussed in detail. This article provides a comprehensive review on emerging and enabling technologies related to the 5G system that enables IoT. We consider the technology drivers for 5G wireless technology, such as 5G new radio (NR), multiple-input-multiple-output antenna with the beamformation technology, mm-wave commutation technology, heterogeneous networks (HetNets), the role of augmented reality (AR) in IoT, which are discussed in detail. We also provide a review on low-power wide-area networks (LPWANs), security challenges, and its control measure in the 5G IoT scenario. This article introduces the role of AR in the 5G IoT scenario. This article also discusses the research gaps and future directions. The focus is also on application areas of IoT in 5G systems. We, therefore, outline some of the important research directions in 5G IoT.</x:v>
      </x:c>
      <x:c r="L38" s="88" t="str">
        <x:v>Available</x:v>
      </x:c>
      <x:c r="M38" s="88" t="str">
        <x:v>OpenAlex</x:v>
      </x:c>
      <x:c r="N38" s="88" t="str">
        <x:v>Advanced Wireless Communication Technologies; IoT Networks and Protocols; Advanced MIMO Systems Optimization; Computer Science</x:v>
      </x:c>
      <x:c r="O38" s="90" t="n">
        <x:v>1548</x:v>
      </x:c>
      <x:c r="P38" s="90" t="n">
        <x:v>130</x:v>
      </x:c>
      <x:c r="Q38" s="86" t="str">
        <x:v>closed</x:v>
      </x:c>
      <x:c r="R38" s="87" t="b">
        <x:v>0</x:v>
      </x:c>
      <x:c r="S38" s="88" t="str">
        <x:v>https://ieeexplore.ieee.org/Xplorehelp/downloads/license-information/IEEE.html; https://doi.org/10.15223/policy-029; https://doi.org/10.15223/policy-037</x:v>
      </x:c>
      <x:c r="T38" s="88" t="str">
        <x:v>Publication matched, but no lawful direct open-access PDF was found</x:v>
      </x:c>
      <x:c r="U38" s="88" t="str">
        <x:v>matched_no_oa_pdf</x:v>
      </x:c>
      <x:c r="V38" s="88" t="str">
        <x:v>High</x:v>
      </x:c>
      <x:c r="W38" s="88" t="str">
        <x:v>DOI resolved in Crossref</x:v>
      </x:c>
      <x:c r="X38" s="88" t="str">
        <x:v>https://doi.org/10.1109/jiot.2019.2948888</x:v>
      </x:c>
      <x:c r="Y38" s="88" t="str">
        <x:v>https://openalex.org/W2981587265</x:v>
      </x:c>
      <x:c r="Z38" s="88" t="str">
        <x:v>https://www.semanticscholar.org/paper/58df8ecc89886a3d0fa63a847f64f80f4898f639</x:v>
      </x:c>
      <x:c r="AA38" s="88" t="str">
        <x:v>A comprehensive survey on Internet of Things (IoT) toward 5G wireless systems</x:v>
      </x:c>
      <x:c r="AB38" s="88" t="str">
        <x:v>10.1109/jiot.2019.2948888</x:v>
      </x:c>
      <x:c r="AC38" s="88" t="str">
        <x:v>article</x:v>
      </x:c>
      <x:c r="AD38" s="88" t="str"/>
    </x:row>
    <x:row r="39" ht="48" customHeight="1">
      <x:c r="A39" s="89" t="n">
        <x:v>38</x:v>
      </x:c>
      <x:c r="B39" s="86" t="str">
        <x:v>xu2016blockchain</x:v>
      </x:c>
      <x:c r="C39" s="88" t="str">
        <x:v>The blockchain as a software connector</x:v>
      </x:c>
      <x:c r="D39" s="88" t="str">
        <x:v>Xu, Xiaolong and Pautasso, Cesare and Zhu, Liming and Gramoli, Vincent and Ponomarev, Alexander and Tran, An B. and Chen, Shiping</x:v>
      </x:c>
      <x:c r="E39" s="89" t="n">
        <x:v>2016</x:v>
      </x:c>
      <x:c r="F39" s="88" t="str">
        <x:v>Proceedings of the 13th IEEE International Conference on Software Architecture</x:v>
      </x:c>
      <x:c r="G39" s="88" t="str"/>
      <x:c r="H39" s="88" t="str">
        <x:v>inproceedings</x:v>
      </x:c>
      <x:c r="I39" s="86" t="str">
        <x:v>10.1109/icsa.2016.15</x:v>
      </x:c>
      <x:c r="J39" s="86" t="str">
        <x:v>https://doi.org/10.1109/icsa.2016.15</x:v>
      </x:c>
      <x:c r="K39" s="88" t="str"/>
      <x:c r="L39" s="88" t="str">
        <x:v>Not found in Crossref/OpenAlex/Semantic Scholar</x:v>
      </x:c>
      <x:c r="M39" s="88" t="str"/>
      <x:c r="N39" s="88" t="str"/>
      <x:c r="O39" s="90"/>
      <x:c r="P39" s="90"/>
      <x:c r="Q39" s="86" t="str">
        <x:v>closed</x:v>
      </x:c>
      <x:c r="R39" s="86"/>
      <x:c r="S39" s="88" t="str"/>
      <x:c r="T39" s="88" t="str">
        <x:v>Publication matched, but no lawful direct open-access PDF was found</x:v>
      </x:c>
      <x:c r="U39" s="88" t="str">
        <x:v>matched_no_oa_pdf</x:v>
      </x:c>
      <x:c r="V39" s="88" t="str">
        <x:v>Unverified</x:v>
      </x:c>
      <x:c r="W39" s="88" t="str">
        <x:v>No reliable external match</x:v>
      </x:c>
      <x:c r="X39" s="88" t="str"/>
      <x:c r="Y39" s="88" t="str"/>
      <x:c r="Z39" s="88" t="str"/>
      <x:c r="AA39" s="88" t="str">
        <x:v>The blockchain as a software connector</x:v>
      </x:c>
      <x:c r="AB39" s="88" t="str">
        <x:v>10.1109/icsa.2016.15</x:v>
      </x:c>
      <x:c r="AC39" s="88" t="str">
        <x:v>inproceedings</x:v>
      </x:c>
      <x:c r="AD39" s="88" t="str"/>
    </x:row>
    <x:row r="40" ht="48" customHeight="1">
      <x:c r="A40" s="89" t="n">
        <x:v>39</x:v>
      </x:c>
      <x:c r="B40" s="86" t="str">
        <x:v>zhang2019blockchain</x:v>
      </x:c>
      <x:c r="C40" s="88" t="str">
        <x:v>Inherited Vulnerabilities: Javascript Engine V4 secure coding compared to Googles V8</x:v>
      </x:c>
      <x:c r="D40" s="88" t="str">
        <x:v>Mandeep Pannu; Iain Kay; Bod Gill</x:v>
      </x:c>
      <x:c r="E40" s="89" t="n">
        <x:v>2019</x:v>
      </x:c>
      <x:c r="F40" s="88" t="str">
        <x:v>2019 IEEE 10th Annual Information Technology, Electronics and Mobile Communication Conference (IEMCON)</x:v>
      </x:c>
      <x:c r="G40" s="88" t="str">
        <x:v>IEEE</x:v>
      </x:c>
      <x:c r="H40" s="88" t="str">
        <x:v>proceedings-article</x:v>
      </x:c>
      <x:c r="I40" s="86" t="str">
        <x:v>10.1109/iemcon.2019.8936228</x:v>
      </x:c>
      <x:c r="J40" s="86" t="str">
        <x:v>https://doi.org/10.1109/iemcon.2019.8936228</x:v>
      </x:c>
      <x:c r="K40" s="88" t="str">
        <x:v>In 2013, the Qt Project announced a move away from Google's V8 JavaScript engine to their own internal V4 JavaScript engine. Despite this, even today Qt still contains a V8 interpretation layer and V8 code in other parts of Qt. This paper aims to investigate why the decision to change interpreters was made and also to evaluate the aspects of Qt interpreted by V4 and what is interpreted by V8. With this defined, differences in secure coding techniques between these systems is examined and highlighted and why these techniques are important in the Qt environment.</x:v>
      </x:c>
      <x:c r="L40" s="88" t="str">
        <x:v>Available</x:v>
      </x:c>
      <x:c r="M40" s="88" t="str">
        <x:v>OpenAlex</x:v>
      </x:c>
      <x:c r="N40" s="88" t="str">
        <x:v>Security and Verification in Computing; Web Application Security Vulnerabilities; Advanced Malware Detection Techniques; Computer Science</x:v>
      </x:c>
      <x:c r="O40" s="90" t="n">
        <x:v>0</x:v>
      </x:c>
      <x:c r="P40" s="90" t="n">
        <x:v>16</x:v>
      </x:c>
      <x:c r="Q40" s="86" t="str">
        <x:v>closed</x:v>
      </x:c>
      <x:c r="R40" s="87" t="b">
        <x:v>0</x:v>
      </x:c>
      <x:c r="S40" s="88" t="str">
        <x:v>https://ieeexplore.ieee.org/Xplorehelp/downloads/license-information/IEEE.html; https://doi.org/10.15223/policy-029; https://doi.org/10.15223/policy-037</x:v>
      </x:c>
      <x:c r="T40" s="88" t="str">
        <x:v>Publication matched, but no lawful direct open-access PDF was found</x:v>
      </x:c>
      <x:c r="U40" s="88" t="str">
        <x:v>matched_no_oa_pdf</x:v>
      </x:c>
      <x:c r="V40" s="88" t="str">
        <x:v>High</x:v>
      </x:c>
      <x:c r="W40" s="88" t="str">
        <x:v>DOI resolved in Crossref</x:v>
      </x:c>
      <x:c r="X40" s="88" t="str">
        <x:v>https://doi.org/10.1109/iemcon.2019.8936228</x:v>
      </x:c>
      <x:c r="Y40" s="88" t="str">
        <x:v>https://openalex.org/W2995005108</x:v>
      </x:c>
      <x:c r="Z40" s="88" t="str">
        <x:v>https://www.semanticscholar.org/paper/5f4feaf73f5b85ce17ca8ee5da53f502d3b9ecea</x:v>
      </x:c>
      <x:c r="AA40" s="88" t="str">
        <x:v>Blockchain for IoT-based smart agriculture</x:v>
      </x:c>
      <x:c r="AB40" s="88" t="str">
        <x:v>10.1109/iemcon.2019.8936228</x:v>
      </x:c>
      <x:c r="AC40" s="88" t="str">
        <x:v>inproceedings</x:v>
      </x:c>
      <x:c r="AD40" s="88" t="str"/>
    </x:row>
    <x:row r="41" ht="48" customHeight="1">
      <x:c r="A41" s="89" t="n">
        <x:v>40</x:v>
      </x:c>
      <x:c r="B41" s="86" t="str">
        <x:v>zhang2015prosper</x:v>
      </x:c>
      <x:c r="C41" s="88" t="str">
        <x:v>Development of a grain monitoring probe to measure temperature, relative humidity, carbon dioxide levels and logistical information during handling and transportation of soybeans</x:v>
      </x:c>
      <x:c r="D41" s="88" t="str">
        <x:v>Mary-Grace C. Danao; Rodrigo S. Zandonadi; Richard S. Gates</x:v>
      </x:c>
      <x:c r="E41" s="89" t="n">
        <x:v>2015</x:v>
      </x:c>
      <x:c r="F41" s="88" t="str">
        <x:v>Computers and Electronics in Agriculture</x:v>
      </x:c>
      <x:c r="G41" s="88" t="str">
        <x:v>Elsevier BV</x:v>
      </x:c>
      <x:c r="H41" s="88" t="str">
        <x:v>journal-article</x:v>
      </x:c>
      <x:c r="I41" s="86" t="str">
        <x:v>10.1016/j.compag.2015.10.008</x:v>
      </x:c>
      <x:c r="J41" s="86" t="str">
        <x:v>https://doi.org/10.1016/j.compag.2015.10.008</x:v>
      </x:c>
      <x:c r="K41" s="88" t="str"/>
      <x:c r="L41" s="88" t="str">
        <x:v>Not found in Crossref/OpenAlex/Semantic Scholar</x:v>
      </x:c>
      <x:c r="M41" s="88" t="str"/>
      <x:c r="N41" s="88" t="str">
        <x:v>Law, logistics, and international trade; Computer Science; Environmental Science</x:v>
      </x:c>
      <x:c r="O41" s="90" t="n">
        <x:v>34</x:v>
      </x:c>
      <x:c r="P41" s="90" t="n">
        <x:v>24</x:v>
      </x:c>
      <x:c r="Q41" s="86" t="str">
        <x:v>closed</x:v>
      </x:c>
      <x:c r="R41" s="87" t="b">
        <x:v>0</x:v>
      </x:c>
      <x:c r="S41" s="88" t="str">
        <x:v>https://www.elsevier.com/tdm/userlicense/1.0/</x:v>
      </x:c>
      <x:c r="T41" s="88" t="str">
        <x:v>Publication matched, but no lawful direct open-access PDF was found</x:v>
      </x:c>
      <x:c r="U41" s="88" t="str">
        <x:v>matched_no_oa_pdf</x:v>
      </x:c>
      <x:c r="V41" s="88" t="str">
        <x:v>High</x:v>
      </x:c>
      <x:c r="W41" s="88" t="str">
        <x:v>DOI resolved in Crossref</x:v>
      </x:c>
      <x:c r="X41" s="88" t="str">
        <x:v>https://doi.org/10.1016/j.compag.2015.10.008</x:v>
      </x:c>
      <x:c r="Y41" s="88" t="str">
        <x:v>https://openalex.org/W1858894334</x:v>
      </x:c>
      <x:c r="Z41" s="88" t="str">
        <x:v>https://www.semanticscholar.org/paper/fd7bba6bfdaf1d412623a145f20066b1f3d8612d</x:v>
      </x:c>
      <x:c r="AA41" s="88" t="str">
        <x:v>PROSPER: A process mining-based framework for agricultural product traceability</x:v>
      </x:c>
      <x:c r="AB41" s="88" t="str">
        <x:v>10.1016/j.compag.2015.10.008</x:v>
      </x:c>
      <x:c r="AC41" s="88" t="str">
        <x:v>article</x:v>
      </x:c>
      <x:c r="AD41" s="88" t="str"/>
    </x:row>
    <x:row r="42" ht="48" customHeight="1">
      <x:c r="A42" s="89" t="n">
        <x:v>41</x:v>
      </x:c>
      <x:c r="B42" s="86" t="str">
        <x:v>fao2050</x:v>
      </x:c>
      <x:c r="C42" s="88" t="str">
        <x:v>The future of food and agriculture: Trends and Challenges</x:v>
      </x:c>
      <x:c r="D42" s="88" t="str">
        <x:v>Vos Rob; Bellù Lorenzo Giovanni; Stamoulis Kostas; Haight Boyd; Tanyeriabur Aysen; Piñeiro Martin; Arata Linda; Aikaterini Kavallari; Müller Marc; Dominik Wisser; Bojic Dubravka; Cattaneo Andrea; Cebolla Juan Garcia; Clark Michael; Piero Conforti; Croppenstedt Andre; Dufour Charlotte; Franchi Valentina; Grandelis Ileana; Gunther Erica; Hemrich Günter; Jackson Julius; Lehel Szilvia; Luciani Andrea; Mattioni Dalia; Mustalampi Unna; Panagiotis Karfakis; Rappazzo Anna; Schmidhuber Josef; Slavchevska Vanya; Stloukal Libor; Tartanac Florence; Francesco N. Tubiello; Urban Klaus; Otterdijk Robert Van; Wijesinha-Bettoni Ramani; Wijnhoven Trudy; Calles Teodardo; Chaya Mona; Besi Giacomo De; Dreyer Hans; Dusunceli Fazil; Idrissi Ahmed El; Hodder Alison; Markus Lipp; Allison Marie Loconto; Juan Lubroth; Mattioli Raffaele; Chikelu, Mba; Menon Dominique; Poisot Anne Sophie; Shadomy Sean; Tekola Berhe; Thompson Richard; Gil Gregorio Velasco; Borelli Simone; Braatz Susan; Flejzor Lauren; Juvenal Thais Linhares; M Lenz Eva; Zuzhang Xia; Barange Manuel; B Malcolm; Chomo Victoria; Funge Simon; Mathiesen Arnì; Stefania Vannuccini; Bambini Bruna; Cherriere Anne Klervi; Dankova Rimma; Evers Guy; D. Mark; F. W. Martin; Koeksalan Nina; Niccolò Lombardi; Selvaraju, Ramasamy; Fernandez Yon; Callens Karel; C. F. Clayton; Davis Benjamin; Heikkilä Stina; Morrison Jamie; Neven David; Burgeon Dominique; Janvry Alain De; Elouafy Ismahane; Shenggen Fan; Gordillo Gustavo; Guillou Marion; Ketsela Mulu</x:v>
      </x:c>
      <x:c r="E42" s="89" t="n">
        <x:v>2017</x:v>
      </x:c>
      <x:c r="F42" s="88" t="str">
        <x:v>HAL (Le Centre pour la Communication Scientifique Directe)</x:v>
      </x:c>
      <x:c r="G42" s="88" t="str"/>
      <x:c r="H42" s="88" t="str">
        <x:v>report</x:v>
      </x:c>
      <x:c r="I42" s="86" t="str"/>
      <x:c r="J42" s="86" t="str"/>
      <x:c r="K42" s="88" t="str">
        <x:v>The report sheds some light on the nature of the challenges that agriculture and food systems are facing now and throughout the 21st century, and provides some insights as to what is at stake and what needs to be done. What emerges is that “business as usual” is no longer an option but calls for major transformations in agricultural systems, in rural economies and in how we manage our natural resources.</x:v>
      </x:c>
      <x:c r="L42" s="88" t="str">
        <x:v>Available</x:v>
      </x:c>
      <x:c r="M42" s="88" t="str">
        <x:v>OpenAlex</x:v>
      </x:c>
      <x:c r="N42" s="88" t="str">
        <x:v>Agricultural Innovations and Practices</x:v>
      </x:c>
      <x:c r="O42" s="90" t="n">
        <x:v>76</x:v>
      </x:c>
      <x:c r="P42" s="90"/>
      <x:c r="Q42" s="86" t="str">
        <x:v>closed</x:v>
      </x:c>
      <x:c r="R42" s="87" t="b">
        <x:v>0</x:v>
      </x:c>
      <x:c r="S42" s="88" t="str"/>
      <x:c r="T42" s="88" t="str">
        <x:v>Publication matched, but no lawful direct open-access PDF was found</x:v>
      </x:c>
      <x:c r="U42" s="88" t="str">
        <x:v>matched_no_oa_pdf</x:v>
      </x:c>
      <x:c r="V42" s="88" t="str">
        <x:v>High</x:v>
      </x:c>
      <x:c r="W42" s="88" t="str">
        <x:v>OpenAlex title match 100%</x:v>
      </x:c>
      <x:c r="X42" s="88" t="str"/>
      <x:c r="Y42" s="88" t="str">
        <x:v>https://openalex.org/W4396596122</x:v>
      </x:c>
      <x:c r="Z42" s="88" t="str"/>
      <x:c r="AA42" s="88" t="str">
        <x:v>The future of food and agriculture: Trends and challenges</x:v>
      </x:c>
      <x:c r="AB42" s="88" t="str"/>
      <x:c r="AC42" s="88" t="str">
        <x:v>misc</x:v>
      </x:c>
      <x:c r="AD42" s="88" t="str"/>
    </x:row>
    <x:row r="43" ht="48" customHeight="1">
      <x:c r="A43" s="89" t="n">
        <x:v>42</x:v>
      </x:c>
      <x:c r="B43" s="86" t="str">
        <x:v>un_water2023</x:v>
      </x:c>
      <x:c r="C43" s="88" t="str">
        <x:v>Water for a Sustainable World</x:v>
      </x:c>
      <x:c r="D43" s="88" t="str">
        <x:v>Unesco Unesco</x:v>
      </x:c>
      <x:c r="E43" s="89" t="n">
        <x:v>2015</x:v>
      </x:c>
      <x:c r="F43" s="88" t="str">
        <x:v>RePEc: Research Papers in Economics</x:v>
      </x:c>
      <x:c r="G43" s="88" t="str"/>
      <x:c r="H43" s="88" t="str">
        <x:v>preprint</x:v>
      </x:c>
      <x:c r="I43" s="86" t="str"/>
      <x:c r="J43" s="86" t="str"/>
      <x:c r="K43" s="88" t="str">
        <x:v>The 2015 World Water Development Report sets both an aspirational and a realistic vision for the future of water towards 2050. This report comes at a critical moment, when freshwater resources face rising pressure to provide for the social, economic and environmental needs of a growing world population. 2015 is also a year of high expectations and hopes, as the deadline for the Millennium Development Goals, and when States will define a new global sustainable development agenda to follow.</x:v>
      </x:c>
      <x:c r="L43" s="88" t="str">
        <x:v>Available</x:v>
      </x:c>
      <x:c r="M43" s="88" t="str">
        <x:v>OpenAlex</x:v>
      </x:c>
      <x:c r="N43" s="88" t="str">
        <x:v>Water resources management and optimization; Transboundary Water Resource Management; Water-Energy-Food Nexus Studies</x:v>
      </x:c>
      <x:c r="O43" s="90" t="n">
        <x:v>153</x:v>
      </x:c>
      <x:c r="P43" s="90"/>
      <x:c r="Q43" s="86" t="str">
        <x:v>closed</x:v>
      </x:c>
      <x:c r="R43" s="87" t="b">
        <x:v>0</x:v>
      </x:c>
      <x:c r="S43" s="88" t="str"/>
      <x:c r="T43" s="88" t="str">
        <x:v>Publication matched, but no lawful direct open-access PDF was found</x:v>
      </x:c>
      <x:c r="U43" s="88" t="str">
        <x:v>matched_no_oa_pdf</x:v>
      </x:c>
      <x:c r="V43" s="88" t="str">
        <x:v>High</x:v>
      </x:c>
      <x:c r="W43" s="88" t="str">
        <x:v>OpenAlex title match 100%</x:v>
      </x:c>
      <x:c r="X43" s="88" t="str"/>
      <x:c r="Y43" s="88" t="str">
        <x:v>https://openalex.org/W2410221956</x:v>
      </x:c>
      <x:c r="Z43" s="88" t="str"/>
      <x:c r="AA43" s="88" t="str">
        <x:v>Water for a Sustainable World</x:v>
      </x:c>
      <x:c r="AB43" s="88" t="str"/>
      <x:c r="AC43" s="88" t="str">
        <x:v>misc</x:v>
      </x:c>
      <x:c r="AD43" s="88" t="str"/>
    </x:row>
    <x:row r="44" ht="48" customHeight="1">
      <x:c r="A44" s="89" t="n">
        <x:v>43</x:v>
      </x:c>
      <x:c r="B44" s="86" t="str">
        <x:v>tunisia_water_report</x:v>
      </x:c>
      <x:c r="C44" s="88" t="str">
        <x:v>National Water Strategy 2050</x:v>
      </x:c>
      <x:c r="D44" s="88" t="str">
        <x:v>Tunisian Ministry of Agriculture</x:v>
      </x:c>
      <x:c r="E44" s="89" t="n">
        <x:v>2022</x:v>
      </x:c>
      <x:c r="F44" s="88" t="str"/>
      <x:c r="G44" s="88" t="str"/>
      <x:c r="H44" s="88" t="str">
        <x:v>misc</x:v>
      </x:c>
      <x:c r="I44" s="86" t="str"/>
      <x:c r="J44" s="86" t="str"/>
      <x:c r="K44" s="88" t="str"/>
      <x:c r="L44" s="88" t="str">
        <x:v>Not available; source may not be a journal paper</x:v>
      </x:c>
      <x:c r="M44" s="88" t="str"/>
      <x:c r="N44" s="88" t="str"/>
      <x:c r="O44" s="90"/>
      <x:c r="P44" s="90"/>
      <x:c r="Q44" s="86" t="str">
        <x:v>unknown</x:v>
      </x:c>
      <x:c r="R44" s="86"/>
      <x:c r="S44" s="88" t="str"/>
      <x:c r="T44" s="88" t="str">
        <x:v>Bibliographic record could not be reliably resolved</x:v>
      </x:c>
      <x:c r="U44" s="88" t="str">
        <x:v>unresolved</x:v>
      </x:c>
      <x:c r="V44" s="88" t="str">
        <x:v>Unverified</x:v>
      </x:c>
      <x:c r="W44" s="88" t="str">
        <x:v>No reliable external match</x:v>
      </x:c>
      <x:c r="X44" s="88" t="str"/>
      <x:c r="Y44" s="88" t="str"/>
      <x:c r="Z44" s="88" t="str"/>
      <x:c r="AA44" s="88" t="str">
        <x:v>National Water Strategy 2050</x:v>
      </x:c>
      <x:c r="AB44" s="88" t="str"/>
      <x:c r="AC44" s="88" t="str">
        <x:v>misc</x:v>
      </x:c>
      <x:c r="AD44" s="88" t="str"/>
    </x:row>
    <x:row r="45" ht="48" customHeight="1">
      <x:c r="A45" s="89" t="n">
        <x:v>44</x:v>
      </x:c>
      <x:c r="B45" s="86" t="str">
        <x:v>jaeid_pepper</x:v>
      </x:c>
      <x:c r="C45" s="88" t="str">
        <x:v>Capsicum Production and Quality: A Review</x:v>
      </x:c>
      <x:c r="D45" s="88" t="str">
        <x:v>Ib\'a\~nez, M. Victoria and Muy-Rangel, M. Dolores and Gonz\'alez-Aguilar, Gustavo A. and Heredia, J. Basilio</x:v>
      </x:c>
      <x:c r="E45" s="89" t="n">
        <x:v>2020</x:v>
      </x:c>
      <x:c r="F45" s="88" t="str">
        <x:v>HortScience</x:v>
      </x:c>
      <x:c r="G45" s="88" t="str"/>
      <x:c r="H45" s="88" t="str">
        <x:v>article</x:v>
      </x:c>
      <x:c r="I45" s="86" t="str">
        <x:v>10.21273/hortsci15060-20</x:v>
      </x:c>
      <x:c r="J45" s="86" t="str">
        <x:v>https://doi.org/10.21273/hortsci15060-20</x:v>
      </x:c>
      <x:c r="K45" s="88" t="str"/>
      <x:c r="L45" s="88" t="str">
        <x:v>Not found in Crossref/OpenAlex/Semantic Scholar</x:v>
      </x:c>
      <x:c r="M45" s="88" t="str"/>
      <x:c r="N45" s="88" t="str"/>
      <x:c r="O45" s="90"/>
      <x:c r="P45" s="90"/>
      <x:c r="Q45" s="86" t="str">
        <x:v>unknown</x:v>
      </x:c>
      <x:c r="R45" s="86"/>
      <x:c r="S45" s="88" t="str"/>
      <x:c r="T45" s="88" t="str">
        <x:v>Bibliographic record could not be reliably resolved</x:v>
      </x:c>
      <x:c r="U45" s="88" t="str">
        <x:v>unresolved</x:v>
      </x:c>
      <x:c r="V45" s="88" t="str">
        <x:v>Unverified</x:v>
      </x:c>
      <x:c r="W45" s="88" t="str">
        <x:v>No reliable external match</x:v>
      </x:c>
      <x:c r="X45" s="88" t="str"/>
      <x:c r="Y45" s="88" t="str"/>
      <x:c r="Z45" s="88" t="str"/>
      <x:c r="AA45" s="88" t="str">
        <x:v>Capsicum Production and Quality: A Review</x:v>
      </x:c>
      <x:c r="AB45" s="88" t="str">
        <x:v>10.21273/hortsci15060-20</x:v>
      </x:c>
      <x:c r="AC45" s="88" t="str">
        <x:v>article</x:v>
      </x:c>
      <x:c r="AD45" s="88" t="str"/>
    </x:row>
    <x:row r="46" ht="48" customHeight="1">
      <x:c r="A46" s="89" t="n">
        <x:v>45</x:v>
      </x:c>
      <x:c r="B46" s="86" t="str">
        <x:v>fao_tomato_guide</x:v>
      </x:c>
      <x:c r="C46" s="88" t="str">
        <x:v>Good Agricultural Practices for Greenhouse Tomato Production</x:v>
      </x:c>
      <x:c r="D46" s="88" t="str">
        <x:v>Food and Agriculture Organization</x:v>
      </x:c>
      <x:c r="E46" s="89" t="n">
        <x:v>2013</x:v>
      </x:c>
      <x:c r="F46" s="88" t="str"/>
      <x:c r="G46" s="88" t="str"/>
      <x:c r="H46" s="88" t="str">
        <x:v>misc</x:v>
      </x:c>
      <x:c r="I46" s="86" t="str"/>
      <x:c r="J46" s="86" t="str"/>
      <x:c r="K46" s="88" t="str"/>
      <x:c r="L46" s="88" t="str">
        <x:v>Not available; source may not be a journal paper</x:v>
      </x:c>
      <x:c r="M46" s="88" t="str"/>
      <x:c r="N46" s="88" t="str"/>
      <x:c r="O46" s="90"/>
      <x:c r="P46" s="90"/>
      <x:c r="Q46" s="86" t="str">
        <x:v>unknown</x:v>
      </x:c>
      <x:c r="R46" s="86"/>
      <x:c r="S46" s="88" t="str"/>
      <x:c r="T46" s="88" t="str">
        <x:v>Bibliographic record could not be reliably resolved</x:v>
      </x:c>
      <x:c r="U46" s="88" t="str">
        <x:v>unresolved</x:v>
      </x:c>
      <x:c r="V46" s="88" t="str">
        <x:v>Unverified</x:v>
      </x:c>
      <x:c r="W46" s="88" t="str">
        <x:v>No reliable external match</x:v>
      </x:c>
      <x:c r="X46" s="88" t="str"/>
      <x:c r="Y46" s="88" t="str"/>
      <x:c r="Z46" s="88" t="str"/>
      <x:c r="AA46" s="88" t="str">
        <x:v>Good Agricultural Practices for Greenhouse Tomato Production</x:v>
      </x:c>
      <x:c r="AB46" s="88" t="str"/>
      <x:c r="AC46" s="88" t="str">
        <x:v>misc</x:v>
      </x:c>
      <x:c r="AD46" s="88" t="str"/>
    </x:row>
    <x:row r="47" ht="48" customHeight="1">
      <x:c r="A47" s="89" t="n">
        <x:v>46</x:v>
      </x:c>
      <x:c r="B47" s="86" t="str">
        <x:v>tang2024feasibility</x:v>
      </x:c>
      <x:c r="C47" s="88" t="str">
        <x:v>Assessing blockchain and IoT technologies for agricultural food supply chains in Africa: A feasibility analysis</x:v>
      </x:c>
      <x:c r="D47" s="88" t="str">
        <x:v>Andrews Tang; Eric Tutu Tchao; Andrew Selasi Agbemenu; Eliel Keelson; Griffith Selorm Klogo; Jerry John Kponyo</x:v>
      </x:c>
      <x:c r="E47" s="89" t="n">
        <x:v>2024</x:v>
      </x:c>
      <x:c r="F47" s="88" t="str">
        <x:v>Heliyon</x:v>
      </x:c>
      <x:c r="G47" s="88" t="str">
        <x:v>Elsevier BV</x:v>
      </x:c>
      <x:c r="H47" s="88" t="str">
        <x:v>journal-article</x:v>
      </x:c>
      <x:c r="I47" s="86" t="str">
        <x:v>10.1016/j.heliyon.2024.e34584</x:v>
      </x:c>
      <x:c r="J47" s="86" t="str">
        <x:v>https://doi.org/10.1016/j.heliyon.2024.e34584</x:v>
      </x:c>
      <x:c r="K47" s="88" t="str">
        <x:v>This review paper delves into the global agricultural food supply chains through the lens of African perspectives, examining the role of blockchain and Internet of Things (IoT) technologies in transforming food traceability. It assesses the applicability and efficacy of these innovations in addressing critical issues such as food fraud, contamination, and systemic inefficiencies from an African viewpoint. By engaging in an in-depth analysis of relevant studies, this work dissects the technical, economic, legal, and operational facets of employing blockchain and IoT in the agri-food sector. The findings illuminate the transformative potential these technologies hold for enhancing food safety and transparency across supply chains. However, the review also brings to light significant hurdles related to scalability, cost-effectiveness, and regulatory frameworks that must be surmounted. Advocating for a context-sensitive application of blockchain and IoT, the paper highlights the importance of adapting these technologies to fit the diverse socio-economic and infrastructural realities prevalent in African countries. Offering valuable insights to stakeholders in agricultural technology and food safety, this comprehensive review outlines a roadmap for future research and strategic implementation efforts aimed at leveraging blockchain and IoT for the development of secure, sustainable food systems.</x:v>
      </x:c>
      <x:c r="L47" s="88" t="str">
        <x:v>Available</x:v>
      </x:c>
      <x:c r="M47" s="88" t="str">
        <x:v>OpenAlex</x:v>
      </x:c>
      <x:c r="N47" s="88" t="str">
        <x:v>Blockchain Technology Applications and Security; Food Waste Reduction and Sustainability; Food Supply Chain Traceability; Medicine</x:v>
      </x:c>
      <x:c r="O47" s="90" t="n">
        <x:v>52</x:v>
      </x:c>
      <x:c r="P47" s="90" t="n">
        <x:v>43</x:v>
      </x:c>
      <x:c r="Q47" s="86" t="str">
        <x:v>gold</x:v>
      </x:c>
      <x:c r="R47" s="87" t="b">
        <x:v>1</x:v>
      </x:c>
      <x:c r="S47" s="88" t="str">
        <x:v>https://www.elsevier.com/tdm/userlicense/1.0/; https://www.elsevier.com/legal/tdmrep-license; http://creativecommons.org/licenses/by-nc-nd/4.0/</x:v>
      </x:c>
      <x:c r="T47" s="88" t="str">
        <x:v>Publication matched; an OA landing page or metadata record was found, but no downloadable PDF was retrieved</x:v>
      </x:c>
      <x:c r="U47" s="88" t="str">
        <x:v>matched</x:v>
      </x:c>
      <x:c r="V47" s="88" t="str">
        <x:v>High</x:v>
      </x:c>
      <x:c r="W47" s="88" t="str">
        <x:v>DOI resolved in Crossref</x:v>
      </x:c>
      <x:c r="X47" s="88" t="str">
        <x:v>https://doi.org/10.1016/j.heliyon.2024.e34584</x:v>
      </x:c>
      <x:c r="Y47" s="88" t="str">
        <x:v>https://openalex.org/W4401267226</x:v>
      </x:c>
      <x:c r="Z47" s="88" t="str">
        <x:v>https://www.semanticscholar.org/paper/baadd2654403d7b020c36448f198e4a3953e3251</x:v>
      </x:c>
      <x:c r="AA47" s="88" t="str">
        <x:v>Assessing blockchain and IoT technologies for agricultural food supply chains in Africa: A feasibility analysis</x:v>
      </x:c>
      <x:c r="AB47" s="88" t="str">
        <x:v>10.1016/j.heliyon.2024.e34584</x:v>
      </x:c>
      <x:c r="AC47" s="88" t="str">
        <x:v>article</x:v>
      </x:c>
      <x:c r="AD47" s="88" t="str">
        <x:v>OA PDF download failed</x:v>
      </x:c>
    </x:row>
    <x:row r="48" ht="48" customHeight="1">
      <x:c r="A48" s="89" t="n">
        <x:v>47</x:v>
      </x:c>
      <x:c r="B48" s="86" t="str">
        <x:v>wang2025hcps</x:v>
      </x:c>
      <x:c r="C48" s="88" t="str">
        <x:v>Blockchain‐Empowered H‐CPS Architecture for Smart Agriculture</x:v>
      </x:c>
      <x:c r="D48" s="88" t="str">
        <x:v>Xiaoding Wang; Qibin Wu; Haitao Zeng; Xu Yang; Hui Cui; Xun Yi; Md. Jalil Piran; Ming Luo; Youxiong Que</x:v>
      </x:c>
      <x:c r="E48" s="89" t="n">
        <x:v>2025</x:v>
      </x:c>
      <x:c r="F48" s="88" t="str">
        <x:v>Advanced Science</x:v>
      </x:c>
      <x:c r="G48" s="88" t="str">
        <x:v>Wiley</x:v>
      </x:c>
      <x:c r="H48" s="88" t="str">
        <x:v>journal-article</x:v>
      </x:c>
      <x:c r="I48" s="86" t="str">
        <x:v>10.1002/advs.202503102</x:v>
      </x:c>
      <x:c r="J48" s="86" t="str">
        <x:v>https://doi.org/10.1002/advs.202503102</x:v>
      </x:c>
      <x:c r="K48" s="88" t="str">
        <x:v>Abstract This study integrates blockchain technology into smart agriculture to enhance its productivity and sustainability. By combining blockchain with remote sensing, artificial intelligence (AI), and the Internet of Things (IoT), a Human‐Cyber‐Physical System (H‐CPS) architecture tailored for agricultural applications is proposed. It supports real‐time crop management, data‐driven decision‐making, and transparent trading of agricultural products. A semantic‐based blockchain framework is introduced to address challenges in data management and AI model integration, optimizing production, improving traceability, reducing costs, and enhancing financial security. This framework directly addresses real‐world agricultural challenges, such as optimized irrigation, improved crop breeding efficiency, and enhanced supply chain transparency. These innovations provide practical solutions for modern agriculture, contributing to sustainable development and global food security. Further research and collaboration are encouraged to unlock its full potential in transforming agricultural practices.</x:v>
      </x:c>
      <x:c r="L48" s="88" t="str">
        <x:v>Available</x:v>
      </x:c>
      <x:c r="M48" s="88" t="str">
        <x:v>Crossref</x:v>
      </x:c>
      <x:c r="N48" s="88" t="str">
        <x:v>Blockchain Technology Applications and Security; Smart Agriculture and AI; IoT and Edge/Fog Computing; Medicine</x:v>
      </x:c>
      <x:c r="O48" s="90" t="n">
        <x:v>21</x:v>
      </x:c>
      <x:c r="P48" s="90" t="n">
        <x:v>133</x:v>
      </x:c>
      <x:c r="Q48" s="86" t="str">
        <x:v>gold</x:v>
      </x:c>
      <x:c r="R48" s="87" t="b">
        <x:v>1</x:v>
      </x:c>
      <x:c r="S48" s="88" t="str">
        <x:v>http://creativecommons.org/licenses/by/4.0/; http://doi.wiley.com/10.1002/tdm_license_1.1</x:v>
      </x:c>
      <x:c r="T48" s="88" t="str">
        <x:v>Publication matched; an OA landing page or metadata record was found, but no downloadable PDF was retrieved</x:v>
      </x:c>
      <x:c r="U48" s="88" t="str">
        <x:v>matched</x:v>
      </x:c>
      <x:c r="V48" s="88" t="str">
        <x:v>High</x:v>
      </x:c>
      <x:c r="W48" s="88" t="str">
        <x:v>DOI resolved in Crossref</x:v>
      </x:c>
      <x:c r="X48" s="88" t="str">
        <x:v>https://doi.org/10.1002/advs.202503102</x:v>
      </x:c>
      <x:c r="Y48" s="88" t="str">
        <x:v>https://openalex.org/W4409794853</x:v>
      </x:c>
      <x:c r="Z48" s="88" t="str">
        <x:v>https://www.semanticscholar.org/paper/f23b101ef3704fa66d468d5d9b84db535d16f66c</x:v>
      </x:c>
      <x:c r="AA48" s="88" t="str">
        <x:v>Blockchain-empowered H-CPS architecture for smart agriculture</x:v>
      </x:c>
      <x:c r="AB48" s="88" t="str">
        <x:v>10.1002/advs.202503102</x:v>
      </x:c>
      <x:c r="AC48" s="88" t="str">
        <x:v>article</x:v>
      </x:c>
      <x:c r="AD48" s="88" t="str">
        <x:v>OA location did not return a PDF</x:v>
      </x:c>
    </x:row>
    <x:row r="49" ht="48" customHeight="1">
      <x:c r="A49" s="89" t="n">
        <x:v>48</x:v>
      </x:c>
      <x:c r="B49" s="86" t="str">
        <x:v>zhang2022lorawan</x:v>
      </x:c>
      <x:c r="C49" s="88" t="str">
        <x:v>LoRaWAN based internet of things (IoT) system for precision irrigation in plasticulture fresh-market tomato</x:v>
      </x:c>
      <x:c r="D49" s="88" t="str">
        <x:v>Haozhe Zhang; Long He; Francesco Di Gioia; Daeun Choi; Antonio Elia; Paul Heinemann</x:v>
      </x:c>
      <x:c r="E49" s="89" t="n">
        <x:v>2022</x:v>
      </x:c>
      <x:c r="F49" s="88" t="str">
        <x:v>Smart Agricultural Technology</x:v>
      </x:c>
      <x:c r="G49" s="88" t="str">
        <x:v>Elsevier BV</x:v>
      </x:c>
      <x:c r="H49" s="88" t="str">
        <x:v>journal-article</x:v>
      </x:c>
      <x:c r="I49" s="86" t="str">
        <x:v>10.1016/j.atech.2022.100053</x:v>
      </x:c>
      <x:c r="J49" s="86" t="str">
        <x:v>https://doi.org/10.1016/j.atech.2022.100053</x:v>
      </x:c>
      <x:c r="K49" s="88" t="str">
        <x:v>Precision irrigation with sensors has proven to be effective for water saving in crop production. An Internet of Things (IoT) system is necessary for monitoring real-time data from sensors and automating irrigation systems. Long-range wide-area network (LoRaWAN), a type of low-power wide-area network (LPWAN), is a low-cost and easily implemented IoT system which can be used for precision crop irrigation. In this study, a LoRaWAN based IoT system was developed and evaluated as a precision irrigation tool on fresh-market tomato production in a plasticulture system. Four irrigation scheduling treatments were designed and tested, including irrigation based on crop evapotranspiration (ET), soil matric potential sensors (Watermark 200SS-5) at -60 kPa (MP60) or -40 kPa (MP40), and GesCoN fertigation decision support system (DSS). The treatments were arranged based on a randomized complete block design with four replicates. System feasibility, irrigation water use efficiency (iWUE), and crop yield were evaluated. Throughout the season, the overall water use efficiencies were 22.2, 26.5, 27.9, and 28.4 kg·m−3 for ET, MP60, MP40, and GesCoN, respectively. The results indicated that treatment MP60 and GesCoN had 15.2 and 22.1% higher marketable fruit yield than ET, while, MP40 had 12.5% lower marketable yield compared to ET. Overall, the LoRaWAN-based IoT system performed well in terms of power consumption, communication, sensor reading, and valve control. These results suggested that the IoT system can be implemented for precision and automatic irrigation operations for vegetable and other horticultural crops with enhancing crop's water use efficiency and sustainability.</x:v>
      </x:c>
      <x:c r="L49" s="88" t="str">
        <x:v>Available</x:v>
      </x:c>
      <x:c r="M49" s="88" t="str">
        <x:v>OpenAlex</x:v>
      </x:c>
      <x:c r="N49" s="88" t="str">
        <x:v>Smart Agriculture and AI; Irrigation Practices and Water Management; IoT Networks and Protocols</x:v>
      </x:c>
      <x:c r="O49" s="90" t="n">
        <x:v>43</x:v>
      </x:c>
      <x:c r="P49" s="90" t="n">
        <x:v>29</x:v>
      </x:c>
      <x:c r="Q49" s="86" t="str">
        <x:v>gold</x:v>
      </x:c>
      <x:c r="R49" s="87" t="b">
        <x:v>1</x:v>
      </x:c>
      <x:c r="S49" s="88" t="str">
        <x:v>https://www.elsevier.com/tdm/userlicense/1.0/; https://www.elsevier.com/legal/tdmrep-license; http://creativecommons.org/licenses/by-nc-nd/4.0/</x:v>
      </x:c>
      <x:c r="T49" s="88" t="str">
        <x:v>Publication matched; an OA landing page or metadata record was found, but no downloadable PDF was retrieved</x:v>
      </x:c>
      <x:c r="U49" s="88" t="str">
        <x:v>matched</x:v>
      </x:c>
      <x:c r="V49" s="88" t="str">
        <x:v>High</x:v>
      </x:c>
      <x:c r="W49" s="88" t="str">
        <x:v>DOI resolved in Crossref</x:v>
      </x:c>
      <x:c r="X49" s="88" t="str">
        <x:v>https://doi.org/10.1016/j.atech.2022.100053</x:v>
      </x:c>
      <x:c r="Y49" s="88" t="str">
        <x:v>https://openalex.org/W4224286801</x:v>
      </x:c>
      <x:c r="Z49" s="88" t="str">
        <x:v>https://www.semanticscholar.org/paper/975af979ede5aad7fb8bebb3775ae2cb6d19accb</x:v>
      </x:c>
      <x:c r="AA49" s="88" t="str">
        <x:v>LoRaWAN-based Internet of Things (IoT) system for precision irrigation in plasticulture fresh-market tomato</x:v>
      </x:c>
      <x:c r="AB49" s="88" t="str">
        <x:v>10.1016/j.atech.2022.100053</x:v>
      </x:c>
      <x:c r="AC49" s="88" t="str">
        <x:v>article</x:v>
      </x:c>
      <x:c r="AD49" s="88" t="str">
        <x:v>OA location did not return a PDF</x:v>
      </x:c>
    </x:row>
    <x:row r="50" ht="48" customHeight="1">
      <x:c r="A50" s="89" t="n">
        <x:v>49</x:v>
      </x:c>
      <x:c r="B50" s="86" t="str">
        <x:v>bicamumakuba2025lorawan</x:v>
      </x:c>
      <x:c r="C50" s="88" t="str">
        <x:v>IoT-enabled LoRaWAN gateway for monitoring and predicting spatial environmental parameters in smart greenhouses: A review</x:v>
      </x:c>
      <x:c r="D50" s="88" t="str">
        <x:v>Bicamumakuba, Emmanuel and Habineza, Eliezel and Samsuzzaman and Reza, Md Nasim and Chung, Sun-Ok</x:v>
      </x:c>
      <x:c r="E50" s="89" t="n">
        <x:v>2025</x:v>
      </x:c>
      <x:c r="F50" s="88" t="str">
        <x:v>Precision Agriculture Science and Technology</x:v>
      </x:c>
      <x:c r="G50" s="88" t="str"/>
      <x:c r="H50" s="88" t="str">
        <x:v>article</x:v>
      </x:c>
      <x:c r="I50" s="86" t="str">
        <x:v>10.22765/pastj.20250003</x:v>
      </x:c>
      <x:c r="J50" s="86" t="str">
        <x:v>https://doi.org/10.22765/pastj.20250003</x:v>
      </x:c>
      <x:c r="K50" s="88" t="str"/>
      <x:c r="L50" s="88" t="str">
        <x:v>Not found in Crossref/OpenAlex/Semantic Scholar</x:v>
      </x:c>
      <x:c r="M50" s="88" t="str"/>
      <x:c r="N50" s="88" t="str"/>
      <x:c r="O50" s="90"/>
      <x:c r="P50" s="90"/>
      <x:c r="Q50" s="86" t="str">
        <x:v>unknown</x:v>
      </x:c>
      <x:c r="R50" s="86"/>
      <x:c r="S50" s="88" t="str"/>
      <x:c r="T50" s="88" t="str">
        <x:v>Bibliographic record could not be reliably resolved</x:v>
      </x:c>
      <x:c r="U50" s="88" t="str">
        <x:v>unresolved</x:v>
      </x:c>
      <x:c r="V50" s="88" t="str">
        <x:v>Unverified</x:v>
      </x:c>
      <x:c r="W50" s="88" t="str">
        <x:v>No reliable external match</x:v>
      </x:c>
      <x:c r="X50" s="88" t="str"/>
      <x:c r="Y50" s="88" t="str"/>
      <x:c r="Z50" s="88" t="str"/>
      <x:c r="AA50" s="88" t="str">
        <x:v>IoT-enabled LoRaWAN gateway for monitoring and predicting spatial environmental parameters in smart greenhouses: A review</x:v>
      </x:c>
      <x:c r="AB50" s="88" t="str">
        <x:v>10.22765/pastj.20250003</x:v>
      </x:c>
      <x:c r="AC50" s="88" t="str">
        <x:v>article</x:v>
      </x:c>
      <x:c r="AD50" s="88" t="str"/>
    </x:row>
    <x:row r="51" ht="48" customHeight="1">
      <x:c r="A51" s="89" t="n">
        <x:v>50</x:v>
      </x:c>
      <x:c r="B51" s="86" t="str">
        <x:v>vidhya2021crt</x:v>
      </x:c>
      <x:c r="C51" s="88" t="str">
        <x:v>Evaluation and Performance Analysis of Chinese Remainder Theorem and Its Application to Lossless Image Compression</x:v>
      </x:c>
      <x:c r="D51" s="88" t="str">
        <x:v>Vidhya, P. and Brindha, R.</x:v>
      </x:c>
      <x:c r="E51" s="89" t="n">
        <x:v>2021</x:v>
      </x:c>
      <x:c r="F51" s="88" t="str">
        <x:v>International Journal of Computer Applications</x:v>
      </x:c>
      <x:c r="G51" s="88" t="str"/>
      <x:c r="H51" s="88" t="str">
        <x:v>article</x:v>
      </x:c>
      <x:c r="I51" s="86" t="str">
        <x:v>10.5120/ijca2021921556</x:v>
      </x:c>
      <x:c r="J51" s="86" t="str">
        <x:v>https://doi.org/10.5120/ijca2021921556</x:v>
      </x:c>
      <x:c r="K51" s="88" t="str"/>
      <x:c r="L51" s="88" t="str">
        <x:v>Not found in Crossref/OpenAlex/Semantic Scholar</x:v>
      </x:c>
      <x:c r="M51" s="88" t="str"/>
      <x:c r="N51" s="88" t="str"/>
      <x:c r="O51" s="90"/>
      <x:c r="P51" s="90"/>
      <x:c r="Q51" s="86" t="str">
        <x:v>closed</x:v>
      </x:c>
      <x:c r="R51" s="86"/>
      <x:c r="S51" s="88" t="str"/>
      <x:c r="T51" s="88" t="str">
        <x:v>Publication matched, but no lawful direct open-access PDF was found</x:v>
      </x:c>
      <x:c r="U51" s="88" t="str">
        <x:v>matched_no_oa_pdf</x:v>
      </x:c>
      <x:c r="V51" s="88" t="str">
        <x:v>Unverified</x:v>
      </x:c>
      <x:c r="W51" s="88" t="str">
        <x:v>No reliable external match</x:v>
      </x:c>
      <x:c r="X51" s="88" t="str"/>
      <x:c r="Y51" s="88" t="str"/>
      <x:c r="Z51" s="88" t="str"/>
      <x:c r="AA51" s="88" t="str">
        <x:v>Evaluation and Performance Analysis of Chinese Remainder Theorem and Its Application to Lossless Image Compression</x:v>
      </x:c>
      <x:c r="AB51" s="88" t="str">
        <x:v>10.5120/ijca2021921556</x:v>
      </x:c>
      <x:c r="AC51" s="88" t="str">
        <x:v>article</x:v>
      </x:c>
      <x:c r="AD51" s="88" t="str"/>
    </x:row>
    <x:row r="52" ht="48" customHeight="1">
      <x:c r="A52" s="89" t="n">
        <x:v>51</x:v>
      </x:c>
      <x:c r="B52" s="86" t="str">
        <x:v>rahman2022rnsenergy</x:v>
      </x:c>
      <x:c r="C52" s="88" t="str">
        <x:v>An extended overlap-add method and -save method for sampling rate conversion</x:v>
      </x:c>
      <x:c r="D52" s="88" t="str">
        <x:v>S. Muramatsu; H. Kiya</x:v>
      </x:c>
      <x:c r="E52" s="89" t="n">
        <x:v>2002</x:v>
      </x:c>
      <x:c r="F52" s="88" t="str">
        <x:v>Proceedings of IEEE International Symposium on Circuits and Systems - ISCAS '94</x:v>
      </x:c>
      <x:c r="G52" s="88" t="str">
        <x:v>IEEE</x:v>
      </x:c>
      <x:c r="H52" s="88" t="str">
        <x:v>proceedings-article</x:v>
      </x:c>
      <x:c r="I52" s="86" t="str">
        <x:v>10.1109/iscas.1994.408967</x:v>
      </x:c>
      <x:c r="J52" s="86" t="str">
        <x:v>https://doi.org/10.1109/iscas.1994.408967</x:v>
      </x:c>
      <x:c r="K52" s="88" t="str">
        <x:v>The overlap-add method (OLA) and overlap-save method (OLS) are well known as efficient schemes for high-order FIR filtering. In this paper, new sampling rate conversion methods are proposed by extending the OLA and OLS, and eliminating the redundancy caused by the conversion. First, for finite-duration sequences, a rate conversion with the DFT-domain approach is discussed. Next, using the result, the extended OLA and OLS are proposed for infinite-duration sequences. Finally, the computation complexities of our proposed methods are shown.&gt;</x:v>
      </x:c>
      <x:c r="L52" s="88" t="str">
        <x:v>Available</x:v>
      </x:c>
      <x:c r="M52" s="88" t="str">
        <x:v>OpenAlex</x:v>
      </x:c>
      <x:c r="N52" s="88" t="str">
        <x:v>Digital Filter Design and Implementation; Image and Signal Denoising Methods; Advanced Adaptive Filtering Techniques; Mathematics; Computer Science</x:v>
      </x:c>
      <x:c r="O52" s="90" t="n">
        <x:v>1</x:v>
      </x:c>
      <x:c r="P52" s="90" t="n">
        <x:v>8</x:v>
      </x:c>
      <x:c r="Q52" s="86" t="str">
        <x:v>closed</x:v>
      </x:c>
      <x:c r="R52" s="87" t="b">
        <x:v>0</x:v>
      </x:c>
      <x:c r="S52" s="88" t="str"/>
      <x:c r="T52" s="88" t="str">
        <x:v>Publication matched, but no lawful direct open-access PDF was found</x:v>
      </x:c>
      <x:c r="U52" s="88" t="str">
        <x:v>matched_no_oa_pdf</x:v>
      </x:c>
      <x:c r="V52" s="88" t="str">
        <x:v>High</x:v>
      </x:c>
      <x:c r="W52" s="88" t="str">
        <x:v>DOI resolved in Crossref</x:v>
      </x:c>
      <x:c r="X52" s="88" t="str">
        <x:v>https://doi.org/10.1109/iscas.1994.408967</x:v>
      </x:c>
      <x:c r="Y52" s="88" t="str">
        <x:v>https://openalex.org/W1541575153</x:v>
      </x:c>
      <x:c r="Z52" s="88" t="str">
        <x:v>https://www.semanticscholar.org/paper/e47683279d5cbcb2c1c3ce9705041dd721edaff0</x:v>
      </x:c>
      <x:c r="AA52" s="88" t="str">
        <x:v>Modulo-Free Architecture for Binary to Residue Number System Conversion for Moduli Set $\2^n, 2^n-1, 2^n-1-1\$</x:v>
      </x:c>
      <x:c r="AB52" s="88" t="str">
        <x:v>10.1109/iscas.1994.408967</x:v>
      </x:c>
      <x:c r="AC52" s="88" t="str">
        <x:v>article</x:v>
      </x:c>
      <x:c r="AD52" s="88" t="str"/>
    </x:row>
    <x:row r="53" ht="48" customHeight="1">
      <x:c r="A53" s="89" t="n">
        <x:v>52</x:v>
      </x:c>
      <x:c r="B53" s="86" t="str">
        <x:v>khan2023fuzzycrt</x:v>
      </x:c>
      <x:c r="C53" s="88" t="str">
        <x:v>Improving lifetime in wireless sensor networks using the Residue Number System</x:v>
      </x:c>
      <x:c r="D53" s="88" t="str">
        <x:v>Buttigieg, Victor and Farrugia, Reuben A. and Zammit-Mangion, Christoph</x:v>
      </x:c>
      <x:c r="E53" s="89" t="n">
        <x:v>2014</x:v>
      </x:c>
      <x:c r="F53" s="88" t="str">
        <x:v>IET Wireless Sensor Systems</x:v>
      </x:c>
      <x:c r="G53" s="88" t="str"/>
      <x:c r="H53" s="88" t="str">
        <x:v>article</x:v>
      </x:c>
      <x:c r="I53" s="86" t="str">
        <x:v>10.1049/iet-wss.2013.0025</x:v>
      </x:c>
      <x:c r="J53" s="86" t="str">
        <x:v>https://doi.org/10.1049/iet-wss.2013.0025</x:v>
      </x:c>
      <x:c r="K53" s="88" t="str"/>
      <x:c r="L53" s="88" t="str">
        <x:v>Not found in Crossref/OpenAlex/Semantic Scholar</x:v>
      </x:c>
      <x:c r="M53" s="88" t="str"/>
      <x:c r="N53" s="88" t="str"/>
      <x:c r="O53" s="90"/>
      <x:c r="P53" s="90"/>
      <x:c r="Q53" s="86" t="str">
        <x:v>unknown</x:v>
      </x:c>
      <x:c r="R53" s="86"/>
      <x:c r="S53" s="88" t="str"/>
      <x:c r="T53" s="88" t="str">
        <x:v>Bibliographic record could not be reliably resolved</x:v>
      </x:c>
      <x:c r="U53" s="88" t="str">
        <x:v>unresolved</x:v>
      </x:c>
      <x:c r="V53" s="88" t="str">
        <x:v>Unverified</x:v>
      </x:c>
      <x:c r="W53" s="88" t="str">
        <x:v>No reliable external match</x:v>
      </x:c>
      <x:c r="X53" s="88" t="str"/>
      <x:c r="Y53" s="88" t="str"/>
      <x:c r="Z53" s="88" t="str"/>
      <x:c r="AA53" s="88" t="str">
        <x:v>Improving lifetime in wireless sensor networks using the Residue Number System</x:v>
      </x:c>
      <x:c r="AB53" s="88" t="str">
        <x:v>10.1049/iet-wss.2013.0025</x:v>
      </x:c>
      <x:c r="AC53" s="88" t="str">
        <x:v>article</x:v>
      </x:c>
      <x:c r="AD53" s="88" t="str"/>
    </x:row>
    <x:row r="54" ht="48" customHeight="1">
      <x:c r="A54" s="89" t="n">
        <x:v>53</x:v>
      </x:c>
      <x:c r="B54" s="86" t="str">
        <x:v>akylidiz2005wireless</x:v>
      </x:c>
      <x:c r="C54" s="88" t="str">
        <x:v>A survey on wireless mesh networks</x:v>
      </x:c>
      <x:c r="D54" s="88" t="str">
        <x:v>I.F. Akyildiz; Xudong Wang</x:v>
      </x:c>
      <x:c r="E54" s="89" t="n">
        <x:v>2005</x:v>
      </x:c>
      <x:c r="F54" s="88" t="str">
        <x:v>IEEE Communications Magazine</x:v>
      </x:c>
      <x:c r="G54" s="88" t="str">
        <x:v>Institute of Electrical and Electronics Engineers (IEEE)</x:v>
      </x:c>
      <x:c r="H54" s="88" t="str">
        <x:v>journal-article</x:v>
      </x:c>
      <x:c r="I54" s="86" t="str">
        <x:v>10.1109/mcom.2005.1509968</x:v>
      </x:c>
      <x:c r="J54" s="86" t="str">
        <x:v>https://doi.org/10.1109/mcom.2005.1509968</x:v>
      </x:c>
      <x:c r="K54" s="88" t="str">
        <x:v>Wireless mesh networks (WMNs) have emerged as a key technology for next-generation wireless networking. Because of their advantages over other wireless networks, WMNs are undergoing rapid progress and inspiring numerous applications. However, many technical issues still exist in this field. In order to provide a better understanding of the research challenges of WMNs, this article presents a detailed investigation of current state-of-the-art protocols and algorithms for WMNs. Open research issues in all protocol layers are also discussed, with an objective to spark new research interests in this field.</x:v>
      </x:c>
      <x:c r="L54" s="88" t="str">
        <x:v>Available</x:v>
      </x:c>
      <x:c r="M54" s="88" t="str">
        <x:v>OpenAlex</x:v>
      </x:c>
      <x:c r="N54" s="88" t="str">
        <x:v>Mobile Ad Hoc Networks; Cooperative Communication and Network Coding; Opportunistic and Delay-Tolerant Networks; Computer Science</x:v>
      </x:c>
      <x:c r="O54" s="90" t="n">
        <x:v>1139</x:v>
      </x:c>
      <x:c r="P54" s="90" t="n">
        <x:v>11</x:v>
      </x:c>
      <x:c r="Q54" s="86" t="str">
        <x:v>closed</x:v>
      </x:c>
      <x:c r="R54" s="87" t="b">
        <x:v>0</x:v>
      </x:c>
      <x:c r="S54" s="88" t="str">
        <x:v>https://ieeexplore.ieee.org/Xplorehelp/downloads/license-information/IEEE.html</x:v>
      </x:c>
      <x:c r="T54" s="88" t="str">
        <x:v>Publication matched, but no lawful direct open-access PDF was found</x:v>
      </x:c>
      <x:c r="U54" s="88" t="str">
        <x:v>matched_no_oa_pdf</x:v>
      </x:c>
      <x:c r="V54" s="88" t="str">
        <x:v>High</x:v>
      </x:c>
      <x:c r="W54" s="88" t="str">
        <x:v>DOI resolved in Crossref</x:v>
      </x:c>
      <x:c r="X54" s="88" t="str">
        <x:v>https://doi.org/10.1109/mcom.2005.1509968</x:v>
      </x:c>
      <x:c r="Y54" s="88" t="str">
        <x:v>https://openalex.org/W2046980951</x:v>
      </x:c>
      <x:c r="Z54" s="88" t="str">
        <x:v>https://www.semanticscholar.org/paper/a6d8dcbaf05ebfe3e86455ecb34d4329d15a37cd</x:v>
      </x:c>
      <x:c r="AA54" s="88" t="str">
        <x:v>A survey on wireless mesh networks</x:v>
      </x:c>
      <x:c r="AB54" s="88" t="str">
        <x:v>10.1109/mcom.2005.1509968</x:v>
      </x:c>
      <x:c r="AC54" s="88" t="str">
        <x:v>article</x:v>
      </x:c>
      <x:c r="AD54" s="88" t="str"/>
    </x:row>
    <x:row r="55" ht="48" customHeight="1">
      <x:c r="A55" s="89" t="n">
        <x:v>54</x:v>
      </x:c>
      <x:c r="B55" s="86" t="str">
        <x:v>nguyen2019blockchain</x:v>
      </x:c>
      <x:c r="C55" s="88" t="str">
        <x:v>Blockchain for IoT security and privacy: The case study of a smart home</x:v>
      </x:c>
      <x:c r="D55" s="88" t="str">
        <x:v>Ali Dorri; Salil S. Kanhere; Raja Jurdak; Praveen Gauravaram</x:v>
      </x:c>
      <x:c r="E55" s="89" t="n">
        <x:v>2017</x:v>
      </x:c>
      <x:c r="F55" s="88" t="str">
        <x:v>2017 IEEE International Conference on Pervasive Computing and Communications Workshops (PerCom Workshops)</x:v>
      </x:c>
      <x:c r="G55" s="88" t="str">
        <x:v>IEEE</x:v>
      </x:c>
      <x:c r="H55" s="88" t="str">
        <x:v>proceedings-article</x:v>
      </x:c>
      <x:c r="I55" s="86" t="str">
        <x:v>10.1109/percomw.2017.7917634</x:v>
      </x:c>
      <x:c r="J55" s="86" t="str">
        <x:v>https://doi.org/10.1109/percomw.2017.7917634</x:v>
      </x:c>
      <x:c r="K55" s="88" t="str">
        <x:v>Internet of Things (IoT) security and privacy remain a major challenge, mainly due to the massive scale and distributed nature of IoT networks. Blockchain-based approaches provide decentralized security and privacy, yet they involve significant energy, delay, and computational overhead that is not suitable for most resource-constrained IoT devices. In our previous work, we presented a lightweight instantiation of a BC particularly geared for use in IoT by eliminating the Proof of Work (POW) and the concept of coins. Our approach was exemplified in a smart home setting and consists of three main tiers namely: cloud storage, overlay, and smart home. In this paper we delve deeper and outline the various core components and functions of the smart home tier. Each smart home is equipped with an always online, high resource device, known as “miner” that is responsible for handling all communication within and external to the home. The miner also preserves a private and secure BC, used for controlling and auditing communications. We show that our proposed BC-based smart home framework is secure by thoroughly analysing its security with respect to the fundamental security goals of confidentiality, integrity, and availability. Finally, we present simulation results to highlight that the overheads (in terms of traffic, processing time and energy consumption) introduced by our approach are insignificant relative to its security and privacy gains.</x:v>
      </x:c>
      <x:c r="L55" s="88" t="str">
        <x:v>Available</x:v>
      </x:c>
      <x:c r="M55" s="88" t="str">
        <x:v>OpenAlex</x:v>
      </x:c>
      <x:c r="N55" s="88" t="str">
        <x:v>IoT and Edge/Fog Computing; Blockchain Technology Applications and Security; Privacy-Preserving Technologies in Data; Computer Science</x:v>
      </x:c>
      <x:c r="O55" s="90" t="n">
        <x:v>1325</x:v>
      </x:c>
      <x:c r="P55" s="90" t="n">
        <x:v>15</x:v>
      </x:c>
      <x:c r="Q55" s="86" t="str">
        <x:v>closed</x:v>
      </x:c>
      <x:c r="R55" s="87" t="b">
        <x:v>0</x:v>
      </x:c>
      <x:c r="S55" s="88" t="str"/>
      <x:c r="T55" s="88" t="str">
        <x:v>Publication matched, but no lawful direct open-access PDF was found</x:v>
      </x:c>
      <x:c r="U55" s="88" t="str">
        <x:v>matched_no_oa_pdf</x:v>
      </x:c>
      <x:c r="V55" s="88" t="str">
        <x:v>High</x:v>
      </x:c>
      <x:c r="W55" s="88" t="str">
        <x:v>DOI resolved in Crossref</x:v>
      </x:c>
      <x:c r="X55" s="88" t="str">
        <x:v>https://doi.org/10.1109/percomw.2017.7917634</x:v>
      </x:c>
      <x:c r="Y55" s="88" t="str">
        <x:v>https://openalex.org/W2611626082</x:v>
      </x:c>
      <x:c r="Z55" s="88" t="str">
        <x:v>https://www.semanticscholar.org/paper/28fe6a3fab2f2097a6f9aac5ae9799577badf883</x:v>
      </x:c>
      <x:c r="AA55" s="88" t="str">
        <x:v>Blockchain for IoT Security and Privacy: The Case Study of a Smart Home</x:v>
      </x:c>
      <x:c r="AB55" s="88" t="str">
        <x:v>10.1109/percomw.2017.7917634</x:v>
      </x:c>
      <x:c r="AC55" s="88" t="str">
        <x:v>article</x:v>
      </x:c>
      <x:c r="AD55" s="88" t="str"/>
    </x:row>
    <x:row r="56" ht="48" customHeight="1">
      <x:c r="A56" s="89" t="n">
        <x:v>55</x:v>
      </x:c>
      <x:c r="B56" s="86" t="str">
        <x:v>schmidt2010b.a.t.m.a.n.</x:v>
      </x:c>
      <x:c r="C56" s="88" t="str">
        <x:v>Design Issues of the prTorrent File Sharing Protocol</x:v>
      </x:c>
      <x:c r="D56" s="88" t="str">
        <x:v>Suman Deb Roy; Tyler Knierim; Shanieka Churchman; Wenjun Zeng</x:v>
      </x:c>
      <x:c r="E56" s="89" t="n">
        <x:v>2010</x:v>
      </x:c>
      <x:c r="F56" s="88" t="str">
        <x:v>2010 7th IEEE Consumer Communications and Networking Conference</x:v>
      </x:c>
      <x:c r="G56" s="88" t="str">
        <x:v>IEEE</x:v>
      </x:c>
      <x:c r="H56" s="88" t="str">
        <x:v>proceedings-article</x:v>
      </x:c>
      <x:c r="I56" s="86" t="str">
        <x:v>10.1109/ccnc.2010.5421784</x:v>
      </x:c>
      <x:c r="J56" s="86" t="str">
        <x:v>https://doi.org/10.1109/ccnc.2010.5421784</x:v>
      </x:c>
      <x:c r="K56" s="88" t="str">
        <x:v>The absence of piece rarity in the BitTorrent Unchoking Algorithm exposes it to various exploitations and hinders optimized performances. prTorrent is a file sharing protocol based on BitTorrent which considers rarity of pieces swapped during unchoking for optimized performance within the swarm. This paper discusses the philosophies, issues and structure behind development of the prTorrent p2p protocol from scratch. The protocol was developed in Java to promote portability in simulation as well as emulation. We hope this work is a guide to students and developers planning to build a p2p simulator from the very base and alleviate design differences between simulation and emulation.</x:v>
      </x:c>
      <x:c r="L56" s="88" t="str">
        <x:v>Available</x:v>
      </x:c>
      <x:c r="M56" s="88" t="str">
        <x:v>OpenAlex</x:v>
      </x:c>
      <x:c r="N56" s="88" t="str">
        <x:v>Peer-to-Peer Network Technologies; Advanced Data Storage Technologies; Distributed and Parallel Computing Systems; Computer Science</x:v>
      </x:c>
      <x:c r="O56" s="90" t="n">
        <x:v>0</x:v>
      </x:c>
      <x:c r="P56" s="90" t="n">
        <x:v>4</x:v>
      </x:c>
      <x:c r="Q56" s="86" t="str">
        <x:v>closed</x:v>
      </x:c>
      <x:c r="R56" s="87" t="b">
        <x:v>0</x:v>
      </x:c>
      <x:c r="S56" s="88" t="str"/>
      <x:c r="T56" s="88" t="str">
        <x:v>Publication matched, but no lawful direct open-access PDF was found</x:v>
      </x:c>
      <x:c r="U56" s="88" t="str">
        <x:v>matched_no_oa_pdf</x:v>
      </x:c>
      <x:c r="V56" s="88" t="str">
        <x:v>High</x:v>
      </x:c>
      <x:c r="W56" s="88" t="str">
        <x:v>DOI resolved in Crossref</x:v>
      </x:c>
      <x:c r="X56" s="88" t="str">
        <x:v>https://doi.org/10.1109/ccnc.2010.5421784</x:v>
      </x:c>
      <x:c r="Y56" s="88" t="str">
        <x:v>https://openalex.org/W1985426074</x:v>
      </x:c>
      <x:c r="Z56" s="88" t="str">
        <x:v>https://www.semanticscholar.org/paper/bdbf0407a83443560efb621be8b15a5fdc75e502</x:v>
      </x:c>
      <x:c r="AA56" s="88" t="str">
        <x:v>B.A.T.M.A.N. for mobile ad-hoc networks</x:v>
      </x:c>
      <x:c r="AB56" s="88" t="str">
        <x:v>10.1109/ccnc.2010.5421784</x:v>
      </x:c>
      <x:c r="AC56" s="88" t="str">
        <x:v>article</x:v>
      </x:c>
      <x:c r="AD56" s="88" t="str"/>
    </x:row>
    <x:row r="57" ht="48" customHeight="1">
      <x:c r="A57" s="89" t="n">
        <x:v>56</x:v>
      </x:c>
      <x:c r="B57" s="86" t="str">
        <x:v>van2017review</x:v>
      </x:c>
      <x:c r="C57" s="88" t="str">
        <x:v>Crop yield prediction using machine learning: A systematic literature review</x:v>
      </x:c>
      <x:c r="D57" s="88" t="str">
        <x:v>Thomas van Klompenburg; Ayalew Kassahun; Cagatay Catal</x:v>
      </x:c>
      <x:c r="E57" s="89" t="n">
        <x:v>2020</x:v>
      </x:c>
      <x:c r="F57" s="88" t="str">
        <x:v>Computers and Electronics in Agriculture</x:v>
      </x:c>
      <x:c r="G57" s="88" t="str">
        <x:v>Elsevier BV</x:v>
      </x:c>
      <x:c r="H57" s="88" t="str">
        <x:v>journal-article</x:v>
      </x:c>
      <x:c r="I57" s="86" t="str">
        <x:v>10.1016/j.compag.2020.105709</x:v>
      </x:c>
      <x:c r="J57" s="86" t="str">
        <x:v>https://doi.org/10.1016/j.compag.2020.105709</x:v>
      </x:c>
      <x:c r="K57" s="88" t="str">
        <x:v>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x:v>
      </x:c>
      <x:c r="L57" s="88" t="str">
        <x:v>Available</x:v>
      </x:c>
      <x:c r="M57" s="88" t="str">
        <x:v>OpenAlex</x:v>
      </x:c>
      <x:c r="N57" s="88" t="str">
        <x:v>Smart Agriculture and AI; Hydrological Forecasting Using AI; Greenhouse Technology and Climate Control; Computer Science</x:v>
      </x:c>
      <x:c r="O57" s="90" t="n">
        <x:v>1616</x:v>
      </x:c>
      <x:c r="P57" s="90" t="n">
        <x:v>106</x:v>
      </x:c>
      <x:c r="Q57" s="86" t="str">
        <x:v>hybrid</x:v>
      </x:c>
      <x:c r="R57" s="87" t="b">
        <x:v>1</x:v>
      </x:c>
      <x:c r="S57" s="88" t="str">
        <x:v>https://www.elsevier.com/tdm/userlicense/1.0/; https://www.elsevier.com/legal/tdmrep-license; http://creativecommons.org/licenses/by/4.0/</x:v>
      </x:c>
      <x:c r="T57" s="88" t="str">
        <x:v>Publication matched; an OA landing page or metadata record was found, but no downloadable PDF was retrieved</x:v>
      </x:c>
      <x:c r="U57" s="88" t="str">
        <x:v>matched</x:v>
      </x:c>
      <x:c r="V57" s="88" t="str">
        <x:v>High</x:v>
      </x:c>
      <x:c r="W57" s="88" t="str">
        <x:v>DOI resolved in Crossref</x:v>
      </x:c>
      <x:c r="X57" s="88" t="str">
        <x:v>https://doi.org/10.1016/j.compag.2020.105709</x:v>
      </x:c>
      <x:c r="Y57" s="88" t="str">
        <x:v>https://openalex.org/W3079760979</x:v>
      </x:c>
      <x:c r="Z57" s="88" t="str">
        <x:v>https://www.semanticscholar.org/paper/f6d918d1c9b7bb1e45b9ca750bd9618bf8ef4ad7</x:v>
      </x:c>
      <x:c r="AA57" s="88" t="str">
        <x:v>Crop yield prediction using machine learning: A systematic literature review</x:v>
      </x:c>
      <x:c r="AB57" s="88" t="str">
        <x:v>10.1016/j.compag.2020.105709</x:v>
      </x:c>
      <x:c r="AC57" s="88" t="str">
        <x:v>article</x:v>
      </x:c>
      <x:c r="AD57" s="88" t="str">
        <x:v>OA location did not return a PDF</x:v>
      </x:c>
    </x:row>
    <x:row r="58" ht="48" customHeight="1">
      <x:c r="A58" s="89" t="n">
        <x:v>57</x:v>
      </x:c>
      <x:c r="B58" s="86" t="str">
        <x:v>xu2020making</x:v>
      </x:c>
      <x:c r="C58" s="88" t="str">
        <x:v>Making IoT fly: Blockchain-empowered cooperative air-ground networks</x:v>
      </x:c>
      <x:c r="D58" s="88" t="str">
        <x:v>Xu, Ronghua and Chen, Jianhua and Blasch, Erik and Chen, Genshe</x:v>
      </x:c>
      <x:c r="E58" s="89" t="n">
        <x:v>2020</x:v>
      </x:c>
      <x:c r="F58" s="88" t="str">
        <x:v>IEEE Network</x:v>
      </x:c>
      <x:c r="G58" s="88" t="str"/>
      <x:c r="H58" s="88" t="str">
        <x:v>article</x:v>
      </x:c>
      <x:c r="I58" s="86" t="str">
        <x:v>10.1109/mnet.011.2000111</x:v>
      </x:c>
      <x:c r="J58" s="86" t="str">
        <x:v>https://doi.org/10.1109/mnet.011.2000111</x:v>
      </x:c>
      <x:c r="K58" s="88" t="str"/>
      <x:c r="L58" s="88" t="str">
        <x:v>Not found in Crossref/OpenAlex/Semantic Scholar</x:v>
      </x:c>
      <x:c r="M58" s="88" t="str"/>
      <x:c r="N58" s="88" t="str"/>
      <x:c r="O58" s="90"/>
      <x:c r="P58" s="90"/>
      <x:c r="Q58" s="86" t="str">
        <x:v>unknown</x:v>
      </x:c>
      <x:c r="R58" s="86"/>
      <x:c r="S58" s="88" t="str"/>
      <x:c r="T58" s="88" t="str">
        <x:v>Bibliographic record could not be reliably resolved</x:v>
      </x:c>
      <x:c r="U58" s="88" t="str">
        <x:v>unresolved</x:v>
      </x:c>
      <x:c r="V58" s="88" t="str">
        <x:v>Unverified</x:v>
      </x:c>
      <x:c r="W58" s="88" t="str">
        <x:v>No reliable external match</x:v>
      </x:c>
      <x:c r="X58" s="88" t="str"/>
      <x:c r="Y58" s="88" t="str"/>
      <x:c r="Z58" s="88" t="str"/>
      <x:c r="AA58" s="88" t="str">
        <x:v>Making IoT fly: Blockchain-empowered cooperative air-ground networks</x:v>
      </x:c>
      <x:c r="AB58" s="88" t="str">
        <x:v>10.1109/mnet.011.2000111</x:v>
      </x:c>
      <x:c r="AC58" s="88" t="str">
        <x:v>article</x:v>
      </x:c>
      <x:c r="AD58" s="88" t="str"/>
    </x:row>
    <x:row r="59" ht="48" customHeight="1">
      <x:c r="A59" s="89" t="n">
        <x:v>58</x:v>
      </x:c>
      <x:c r="B59" s="86" t="str">
        <x:v>lin2020blockchain</x:v>
      </x:c>
      <x:c r="C59" s="88" t="str">
        <x:v>Blockchain and IoT based Food Traceability for Smart Agriculture</x:v>
      </x:c>
      <x:c r="D59" s="88" t="str">
        <x:v>Jun Lin; Zhiqi Shen; Anting Zhang; Yueting Chai</x:v>
      </x:c>
      <x:c r="E59" s="89" t="n">
        <x:v>2018</x:v>
      </x:c>
      <x:c r="F59" s="88" t="str">
        <x:v>Proceedings of the 3rd International Conference on Crowd Science and Engineering</x:v>
      </x:c>
      <x:c r="G59" s="88" t="str">
        <x:v>ACM</x:v>
      </x:c>
      <x:c r="H59" s="88" t="str">
        <x:v>proceedings-article</x:v>
      </x:c>
      <x:c r="I59" s="86" t="str">
        <x:v>10.1145/3265689.3265692</x:v>
      </x:c>
      <x:c r="J59" s="86" t="str">
        <x:v>https://doi.org/10.1145/3265689.3265692</x:v>
      </x:c>
      <x:c r="K59" s="88" t="str">
        <x:v>1Food safety is becoming more and more serious topic worldwide. To tackle the food safety issues from the technical aspect, people need a trusted food traceability system that can track and monitor the whole lifespan of food production, including the processes of food raw material cultivation/breeding, processing, transporting, warehousing, and selling etc. In this paper, we propose a trusted, self-organized, open and ecological food traceability system based on blockchain and Internet of Things (IoT) technologies, which involves all parties of a smart agriculture ecosystem, even if they may not trust each other. We use IoT devices to replace manual recording and verification as many as possible, which can reduce the human intervention to the system effectively. Furthermore, we plan to use the smart contract technology to help the law-executor to find problems and process them timely.</x:v>
      </x:c>
      <x:c r="L59" s="88" t="str">
        <x:v>Available</x:v>
      </x:c>
      <x:c r="M59" s="88" t="str">
        <x:v>OpenAlex</x:v>
      </x:c>
      <x:c r="N59" s="88" t="str">
        <x:v>Food Supply Chain Traceability; Blockchain Technology Applications and Security; IoT and Edge/Fog Computing; Computer Science; Business</x:v>
      </x:c>
      <x:c r="O59" s="90" t="n">
        <x:v>257</x:v>
      </x:c>
      <x:c r="P59" s="90" t="n">
        <x:v>19</x:v>
      </x:c>
      <x:c r="Q59" s="86" t="str">
        <x:v>green</x:v>
      </x:c>
      <x:c r="R59" s="87" t="b">
        <x:v>1</x:v>
      </x:c>
      <x:c r="S59" s="88" t="str">
        <x:v>https://www.acm.org/publications/policies/copyright_policy#Background</x:v>
      </x:c>
      <x:c r="T59" s="88" t="str">
        <x:v>Publication matched; an OA landing page or metadata record was found, but no downloadable PDF was retrieved</x:v>
      </x:c>
      <x:c r="U59" s="88" t="str">
        <x:v>matched</x:v>
      </x:c>
      <x:c r="V59" s="88" t="str">
        <x:v>High</x:v>
      </x:c>
      <x:c r="W59" s="88" t="str">
        <x:v>DOI resolved in Crossref</x:v>
      </x:c>
      <x:c r="X59" s="88" t="str">
        <x:v>https://doi.org/10.1145/3265689.3265692</x:v>
      </x:c>
      <x:c r="Y59" s="88" t="str">
        <x:v>https://openalex.org/W2896711834</x:v>
      </x:c>
      <x:c r="Z59" s="88" t="str">
        <x:v>https://www.semanticscholar.org/paper/6d5eff0f4dcaf531a6129134119bc9613ce1b657</x:v>
      </x:c>
      <x:c r="AA59" s="88" t="str">
        <x:v>Blockchain and IoT based Food Traceability for Smart Agriculture</x:v>
      </x:c>
      <x:c r="AB59" s="88" t="str">
        <x:v>10.1145/3265689.3265692</x:v>
      </x:c>
      <x:c r="AC59" s="88" t="str">
        <x:v>article</x:v>
      </x:c>
      <x:c r="AD59" s="88" t="str">
        <x:v>OA location did not return a PDF</x:v>
      </x:c>
    </x:row>
    <x:row r="60" ht="48" customHeight="1">
      <x:c r="A60" s="89" t="n">
        <x:v>59</x:v>
      </x:c>
      <x:c r="B60" s="86" t="str">
        <x:v>tian2016agri</x:v>
      </x:c>
      <x:c r="C60" s="88" t="str">
        <x:v>An agri-food supply chain traceability system for China based on RFID &amp;amp; blockchain technology</x:v>
      </x:c>
      <x:c r="D60" s="88" t="str">
        <x:v>Feng Tian</x:v>
      </x:c>
      <x:c r="E60" s="89" t="n">
        <x:v>2016</x:v>
      </x:c>
      <x:c r="F60" s="88" t="str">
        <x:v>2016 13th International Conference on Service Systems and Service Management (ICSSSM)</x:v>
      </x:c>
      <x:c r="G60" s="88" t="str">
        <x:v>IEEE</x:v>
      </x:c>
      <x:c r="H60" s="88" t="str">
        <x:v>proceedings-article</x:v>
      </x:c>
      <x:c r="I60" s="86" t="str">
        <x:v>10.1109/icsssm.2016.7538424</x:v>
      </x:c>
      <x:c r="J60" s="86" t="str">
        <x:v>https://doi.org/10.1109/icsssm.2016.7538424</x:v>
      </x:c>
      <x:c r="K60" s="88" t="str">
        <x:v>For the past few years, food safety has become an outstanding problem in China. Since traditional agri-food logistics pattern can not match the demands of the market anymore, building an agri-food supply chain traceability system is becoming more and more urgent. In this paper, we study the utilization and development situation of RFID (Radio-Frequency IDentification) and blockchain technology first, and then we analyze the advantages and disadvantages of using RFID and blockchain technology in building the agri-food supply chain traceability system; finally, we demonstrate the building process of this system. It can realize the traceability with trusted information in the entire agri-food supply chain, which would effectively guarantee the food safety, by gathering, transferring and sharing the authentic data of agri-food in production, processing, warehousing, distribution and selling links.</x:v>
      </x:c>
      <x:c r="L60" s="88" t="str">
        <x:v>Available</x:v>
      </x:c>
      <x:c r="M60" s="88" t="str">
        <x:v>OpenAlex</x:v>
      </x:c>
      <x:c r="N60" s="88" t="str">
        <x:v>Blockchain Technology Applications and Security; Food Supply Chain Traceability; Food Waste Reduction and Sustainability; Computer Science</x:v>
      </x:c>
      <x:c r="O60" s="90" t="n">
        <x:v>561</x:v>
      </x:c>
      <x:c r="P60" s="90" t="n">
        <x:v>21</x:v>
      </x:c>
      <x:c r="Q60" s="86" t="str">
        <x:v>closed</x:v>
      </x:c>
      <x:c r="R60" s="87" t="b">
        <x:v>0</x:v>
      </x:c>
      <x:c r="S60" s="88" t="str"/>
      <x:c r="T60" s="88" t="str">
        <x:v>Publication matched, but no lawful direct open-access PDF was found</x:v>
      </x:c>
      <x:c r="U60" s="88" t="str">
        <x:v>matched_no_oa_pdf</x:v>
      </x:c>
      <x:c r="V60" s="88" t="str">
        <x:v>High</x:v>
      </x:c>
      <x:c r="W60" s="88" t="str">
        <x:v>DOI resolved in Crossref</x:v>
      </x:c>
      <x:c r="X60" s="88" t="str">
        <x:v>https://doi.org/10.1109/icsssm.2016.7538424</x:v>
      </x:c>
      <x:c r="Y60" s="88" t="str">
        <x:v>https://openalex.org/W2511580607</x:v>
      </x:c>
      <x:c r="Z60" s="88" t="str">
        <x:v>https://www.semanticscholar.org/paper/24cdeb7d7421012c2fdd362b8e2816c105b7071f</x:v>
      </x:c>
      <x:c r="AA60" s="88" t="str">
        <x:v>An Agri-Food Supply Chain Traceability System for China Based on RFID and Blockchain Technology</x:v>
      </x:c>
      <x:c r="AB60" s="88" t="str">
        <x:v>10.1109/icsssm.2016.7538424</x:v>
      </x:c>
      <x:c r="AC60" s="88" t="str">
        <x:v>article</x:v>
      </x:c>
      <x:c r="AD60" s="88" t="str"/>
    </x:row>
    <x:row r="61" ht="48" customHeight="1">
      <x:c r="A61" s="89" t="n">
        <x:v>60</x:v>
      </x:c>
      <x:c r="B61" s="86" t="str">
        <x:v>benedict2021decentralized</x:v>
      </x:c>
      <x:c r="C61" s="88" t="str">
        <x:v>Bubbles of Trust: A decentralized blockchain-based authentication system for IoT</x:v>
      </x:c>
      <x:c r="D61" s="88" t="str">
        <x:v>Mohamed Tahar Hammi; Badis Hammi; Patrick Bellot; Ahmed Serhrouchni</x:v>
      </x:c>
      <x:c r="E61" s="89" t="n">
        <x:v>2018</x:v>
      </x:c>
      <x:c r="F61" s="88" t="str">
        <x:v>Computers &amp;amp; Security</x:v>
      </x:c>
      <x:c r="G61" s="88" t="str">
        <x:v>Elsevier BV</x:v>
      </x:c>
      <x:c r="H61" s="88" t="str">
        <x:v>journal-article</x:v>
      </x:c>
      <x:c r="I61" s="86" t="str">
        <x:v>10.1016/j.cose.2018.06.004</x:v>
      </x:c>
      <x:c r="J61" s="86" t="str">
        <x:v>https://doi.org/10.1016/j.cose.2018.06.004</x:v>
      </x:c>
      <x:c r="K61" s="88" t="str">
        <x:v>Abstract There is no doubt that Internet of Things (IoT) occupy a very important role in our daily lives. Indeed, numerous objects that we use every time, are being equipped with electronic devices and protocol suites in order to make them interconnected and connected to the Internet. In IoT, things process and exchange data without human intervention. Therefore, because of this full autonomy, these entities need to recognize and authenticate each other as well as to ensure the integrity of their exchanged data. Otherwise, they will be the target of malicious users and malicious use. Due to the size and other features of IoT, it is almost impossible to create an efficient centralized authentication system. To remedy this limit, in this paper, we propose an original decentralized system called bubbles of trust, which ensures a robust identification and authentication of devices. Furthermore, it protects the data integrity and availability. To achieve such a goal, our approach relies on the security advantages provided by blockchains, and serves to create secure virtual zones (bubbles) where things can identify and trust each other. We also provided a real implementation of our mechanism using the C++ language and Ethereum blockchain. The obtained results prove its ability to satisfy IoT security requirements, its efficiency, and its low cost.</x:v>
      </x:c>
      <x:c r="L61" s="88" t="str">
        <x:v>Available</x:v>
      </x:c>
      <x:c r="M61" s="88" t="str">
        <x:v>Semantic Scholar</x:v>
      </x:c>
      <x:c r="N61" s="88" t="str">
        <x:v>Blockchain Technology Applications and Security; IoT and Edge/Fog Computing; User Authentication and Security Systems; Computer Science</x:v>
      </x:c>
      <x:c r="O61" s="90" t="n">
        <x:v>615</x:v>
      </x:c>
      <x:c r="P61" s="90" t="n">
        <x:v>58</x:v>
      </x:c>
      <x:c r="Q61" s="86" t="str">
        <x:v>closed</x:v>
      </x:c>
      <x:c r="R61" s="87" t="b">
        <x:v>0</x:v>
      </x:c>
      <x:c r="S61" s="88" t="str">
        <x:v>https://www.elsevier.com/tdm/userlicense/1.0/</x:v>
      </x:c>
      <x:c r="T61" s="88" t="str">
        <x:v>Publication matched, but no lawful direct open-access PDF was found</x:v>
      </x:c>
      <x:c r="U61" s="88" t="str">
        <x:v>matched_no_oa_pdf</x:v>
      </x:c>
      <x:c r="V61" s="88" t="str">
        <x:v>High</x:v>
      </x:c>
      <x:c r="W61" s="88" t="str">
        <x:v>DOI resolved in Crossref</x:v>
      </x:c>
      <x:c r="X61" s="88" t="str">
        <x:v>https://doi.org/10.1016/j.cose.2018.06.004</x:v>
      </x:c>
      <x:c r="Y61" s="88" t="str">
        <x:v>https://openalex.org/W2810652557</x:v>
      </x:c>
      <x:c r="Z61" s="88" t="str">
        <x:v>https://www.semanticscholar.org/paper/fb74ec25eea00aaea3cf1519dda5de586c6b762c</x:v>
      </x:c>
      <x:c r="AA61" s="88" t="str">
        <x:v>Bubbles of Trust: A decentralized blockchain-based authentication system for IoT</x:v>
      </x:c>
      <x:c r="AB61" s="88" t="str">
        <x:v>10.1016/j.cose.2018.06.004</x:v>
      </x:c>
      <x:c r="AC61" s="88" t="str">
        <x:v>article</x:v>
      </x:c>
      <x:c r="AD61" s="88" t="str"/>
    </x:row>
    <x:row r="62" ht="48" customHeight="1">
      <x:c r="A62" s="89" t="n">
        <x:v>61</x:v>
      </x:c>
      <x:c r="B62" s="86" t="str">
        <x:v>tian2017traceability</x:v>
      </x:c>
      <x:c r="C62" s="88" t="str">
        <x:v>A Supply Chain Traceability System for Food Safety Based on HACCP, Blockchain, and RFID</x:v>
      </x:c>
      <x:c r="D62" s="88" t="str">
        <x:v>Tian, F.</x:v>
      </x:c>
      <x:c r="E62" s="89" t="n">
        <x:v>2017</x:v>
      </x:c>
      <x:c r="F62" s="88" t="str">
        <x:v>2017 International Conference on Applied System Innovation</x:v>
      </x:c>
      <x:c r="G62" s="88" t="str"/>
      <x:c r="H62" s="88" t="str">
        <x:v>article</x:v>
      </x:c>
      <x:c r="I62" s="86" t="str">
        <x:v>10.1109/icasi.2017.7988632</x:v>
      </x:c>
      <x:c r="J62" s="86" t="str">
        <x:v>https://doi.org/10.1109/icasi.2017.7988632</x:v>
      </x:c>
      <x:c r="K62" s="88" t="str"/>
      <x:c r="L62" s="88" t="str">
        <x:v>Not found in Crossref/OpenAlex/Semantic Scholar</x:v>
      </x:c>
      <x:c r="M62" s="88" t="str"/>
      <x:c r="N62" s="88" t="str"/>
      <x:c r="O62" s="90"/>
      <x:c r="P62" s="90"/>
      <x:c r="Q62" s="86" t="str">
        <x:v>unknown</x:v>
      </x:c>
      <x:c r="R62" s="86"/>
      <x:c r="S62" s="88" t="str"/>
      <x:c r="T62" s="88" t="str">
        <x:v>Bibliographic record could not be reliably resolved</x:v>
      </x:c>
      <x:c r="U62" s="88" t="str">
        <x:v>unresolved</x:v>
      </x:c>
      <x:c r="V62" s="88" t="str">
        <x:v>Unverified</x:v>
      </x:c>
      <x:c r="W62" s="88" t="str">
        <x:v>No reliable external match</x:v>
      </x:c>
      <x:c r="X62" s="88" t="str"/>
      <x:c r="Y62" s="88" t="str"/>
      <x:c r="Z62" s="88" t="str"/>
      <x:c r="AA62" s="88" t="str">
        <x:v>A Supply Chain Traceability System for Food Safety Based on HACCP, Blockchain, and RFID</x:v>
      </x:c>
      <x:c r="AB62" s="88" t="str">
        <x:v>10.1109/icasi.2017.7988632</x:v>
      </x:c>
      <x:c r="AC62" s="88" t="str">
        <x:v>article</x:v>
      </x:c>
      <x:c r="AD62" s="88" t="str"/>
    </x:row>
    <x:row r="63" ht="48" customHeight="1">
      <x:c r="A63" s="89" t="n">
        <x:v>62</x:v>
      </x:c>
      <x:c r="B63" s="86" t="str">
        <x:v>reyna2018blockchain</x:v>
      </x:c>
      <x:c r="C63" s="88" t="str">
        <x:v>On blockchain and its integration with IoT. Challenges and opportunities</x:v>
      </x:c>
      <x:c r="D63" s="88" t="str">
        <x:v>Ana Reyna; Cristian Martín; Jaime Chen; Enrique Soler; Manuel Díaz</x:v>
      </x:c>
      <x:c r="E63" s="89" t="n">
        <x:v>2018</x:v>
      </x:c>
      <x:c r="F63" s="88" t="str">
        <x:v>Future Generation Computer Systems</x:v>
      </x:c>
      <x:c r="G63" s="88" t="str">
        <x:v>Elsevier BV</x:v>
      </x:c>
      <x:c r="H63" s="88" t="str">
        <x:v>journal-article</x:v>
      </x:c>
      <x:c r="I63" s="86" t="str">
        <x:v>10.1016/j.future.2018.05.046</x:v>
      </x:c>
      <x:c r="J63" s="86" t="str">
        <x:v>https://doi.org/10.1016/j.future.2018.05.046</x:v>
      </x:c>
      <x:c r="K63" s="88" t="str">
        <x:v>In the Internet of Things (IoT) vision, conventional devices become smart and autonomous. This vision is turning into a reality thanks to advances in technology, but there are still challenges to address, particularly in the security domain e.g., data reliability. Taking into account the predicted evolution of the IoT in the coming years, it is necessary to provide confidence in this huge incoming information source. Blockchain has emerged as a key technology that will transform the way in which we share information. Building trust in distributed environments without the need for authorities is a technological advance that has the potential to change many industries, the IoT among them. Disruptive technologies such as big data and cloud computing have been leveraged by IoT to overcome its limitations since its conception, and we think blockchain will be one of the next ones. This paper focuses on this relationship, investigates challenges in blockchain IoT applications, and surveys the most relevant work in order to analyze how blockchain could potentially improve the IoT.</x:v>
      </x:c>
      <x:c r="L63" s="88" t="str">
        <x:v>Available</x:v>
      </x:c>
      <x:c r="M63" s="88" t="str">
        <x:v>OpenAlex</x:v>
      </x:c>
      <x:c r="N63" s="88" t="str">
        <x:v>Blockchain Technology Applications and Security; IoT and Edge/Fog Computing; Caching and Content Delivery; Computer Science</x:v>
      </x:c>
      <x:c r="O63" s="90" t="n">
        <x:v>1624</x:v>
      </x:c>
      <x:c r="P63" s="90" t="n">
        <x:v>148</x:v>
      </x:c>
      <x:c r="Q63" s="86" t="str">
        <x:v>hybrid</x:v>
      </x:c>
      <x:c r="R63" s="87" t="b">
        <x:v>1</x:v>
      </x:c>
      <x:c r="S63" s="88" t="str">
        <x:v>https://www.elsevier.com/tdm/userlicense/1.0/; https://www.elsevier.com/legal/tdmrep-license; http://creativecommons.org/licenses/by/4.0/</x:v>
      </x:c>
      <x:c r="T63" s="88" t="str">
        <x:v>Publication matched; an OA landing page or metadata record was found, but no downloadable PDF was retrieved</x:v>
      </x:c>
      <x:c r="U63" s="88" t="str">
        <x:v>matched</x:v>
      </x:c>
      <x:c r="V63" s="88" t="str">
        <x:v>High</x:v>
      </x:c>
      <x:c r="W63" s="88" t="str">
        <x:v>DOI resolved in Crossref</x:v>
      </x:c>
      <x:c r="X63" s="88" t="str">
        <x:v>https://doi.org/10.1016/j.future.2018.05.046</x:v>
      </x:c>
      <x:c r="Y63" s="88" t="str">
        <x:v>https://openalex.org/W2803371618</x:v>
      </x:c>
      <x:c r="Z63" s="88" t="str">
        <x:v>https://www.semanticscholar.org/paper/5006904fbdd9daa5ad534393a45705a719dd8527</x:v>
      </x:c>
      <x:c r="AA63" s="88" t="str">
        <x:v>On Blockchain and Its Integration with IoT: Challenges and Opportunities</x:v>
      </x:c>
      <x:c r="AB63" s="88" t="str">
        <x:v>10.1016/j.future.2018.05.046</x:v>
      </x:c>
      <x:c r="AC63" s="88" t="str">
        <x:v>article</x:v>
      </x:c>
      <x:c r="AD63" s="88" t="str">
        <x:v>OA location did not return a PDF</x:v>
      </x:c>
    </x:row>
    <x:row r="64" ht="48" customHeight="1">
      <x:c r="A64" s="89" t="n">
        <x:v>63</x:v>
      </x:c>
      <x:c r="B64" s="86" t="str">
        <x:v>acclima2022tdr</x:v>
      </x:c>
      <x:c r="C64" s="88" t="str">
        <x:v>TDR-315N Soil Moisture Sensor Specifications</x:v>
      </x:c>
      <x:c r="D64" s="88" t="str">
        <x:v>Acclima Inc.</x:v>
      </x:c>
      <x:c r="E64" s="89" t="n">
        <x:v>2022</x:v>
      </x:c>
      <x:c r="F64" s="88" t="str">
        <x:v>Acclima Datasheet</x:v>
      </x:c>
      <x:c r="G64" s="88" t="str"/>
      <x:c r="H64" s="88" t="str">
        <x:v>article</x:v>
      </x:c>
      <x:c r="I64" s="86" t="str"/>
      <x:c r="J64" s="86" t="str"/>
      <x:c r="K64" s="88" t="str"/>
      <x:c r="L64" s="88" t="str">
        <x:v>Not found in Crossref/OpenAlex/Semantic Scholar</x:v>
      </x:c>
      <x:c r="M64" s="88" t="str"/>
      <x:c r="N64" s="88" t="str"/>
      <x:c r="O64" s="90"/>
      <x:c r="P64" s="90"/>
      <x:c r="Q64" s="86" t="str">
        <x:v>unknown</x:v>
      </x:c>
      <x:c r="R64" s="86"/>
      <x:c r="S64" s="88" t="str"/>
      <x:c r="T64" s="88" t="str">
        <x:v>Bibliographic record could not be reliably resolved</x:v>
      </x:c>
      <x:c r="U64" s="88" t="str">
        <x:v>unresolved</x:v>
      </x:c>
      <x:c r="V64" s="88" t="str">
        <x:v>Unverified</x:v>
      </x:c>
      <x:c r="W64" s="88" t="str">
        <x:v>No reliable external match</x:v>
      </x:c>
      <x:c r="X64" s="88" t="str"/>
      <x:c r="Y64" s="88" t="str"/>
      <x:c r="Z64" s="88" t="str"/>
      <x:c r="AA64" s="88" t="str">
        <x:v>TDR-315N Soil Moisture Sensor Specifications</x:v>
      </x:c>
      <x:c r="AB64" s="88" t="str"/>
      <x:c r="AC64" s="88" t="str">
        <x:v>article</x:v>
      </x:c>
      <x:c r="AD64" s="88" t="str"/>
    </x:row>
    <x:row r="65" ht="48" customHeight="1">
      <x:c r="A65" s="89" t="n">
        <x:v>64</x:v>
      </x:c>
      <x:c r="B65" s="86" t="str">
        <x:v>aosong2018dht22</x:v>
      </x:c>
      <x:c r="C65" s="88" t="str">
        <x:v>DHT22 Temperature and Humidity Sensor Datasheet</x:v>
      </x:c>
      <x:c r="D65" s="88" t="str">
        <x:v>AOSONG Electronics</x:v>
      </x:c>
      <x:c r="E65" s="89" t="n">
        <x:v>2018</x:v>
      </x:c>
      <x:c r="F65" s="88" t="str">
        <x:v>AOSONG Technical Documentation</x:v>
      </x:c>
      <x:c r="G65" s="88" t="str"/>
      <x:c r="H65" s="88" t="str">
        <x:v>article</x:v>
      </x:c>
      <x:c r="I65" s="86" t="str"/>
      <x:c r="J65" s="86" t="str"/>
      <x:c r="K65" s="88" t="str"/>
      <x:c r="L65" s="88" t="str">
        <x:v>Not found in Crossref/OpenAlex/Semantic Scholar</x:v>
      </x:c>
      <x:c r="M65" s="88" t="str"/>
      <x:c r="N65" s="88" t="str"/>
      <x:c r="O65" s="90"/>
      <x:c r="P65" s="90"/>
      <x:c r="Q65" s="86" t="str">
        <x:v>unknown</x:v>
      </x:c>
      <x:c r="R65" s="86"/>
      <x:c r="S65" s="88" t="str"/>
      <x:c r="T65" s="88" t="str">
        <x:v>Bibliographic record could not be reliably resolved</x:v>
      </x:c>
      <x:c r="U65" s="88" t="str">
        <x:v>unresolved</x:v>
      </x:c>
      <x:c r="V65" s="88" t="str">
        <x:v>Unverified</x:v>
      </x:c>
      <x:c r="W65" s="88" t="str">
        <x:v>No reliable external match</x:v>
      </x:c>
      <x:c r="X65" s="88" t="str"/>
      <x:c r="Y65" s="88" t="str"/>
      <x:c r="Z65" s="88" t="str"/>
      <x:c r="AA65" s="88" t="str">
        <x:v>DHT22 Temperature and Humidity Sensor Datasheet</x:v>
      </x:c>
      <x:c r="AB65" s="88" t="str"/>
      <x:c r="AC65" s="88" t="str">
        <x:v>article</x:v>
      </x:c>
      <x:c r="AD65" s="88" t="str"/>
    </x:row>
    <x:row r="66" ht="48" customHeight="1">
      <x:c r="A66" s="89" t="n">
        <x:v>65</x:v>
      </x:c>
      <x:c r="B66" s="86" t="str">
        <x:v>adi2013ph</x:v>
      </x:c>
      <x:c r="C66" s="88" t="str">
        <x:v>Low-Power Soil pH Measurement Techniques</x:v>
      </x:c>
      <x:c r="D66" s="88" t="str">
        <x:v>Analog Devices</x:v>
      </x:c>
      <x:c r="E66" s="89" t="n">
        <x:v>2013</x:v>
      </x:c>
      <x:c r="F66" s="88" t="str">
        <x:v>Analog Devices Application Note</x:v>
      </x:c>
      <x:c r="G66" s="88" t="str"/>
      <x:c r="H66" s="88" t="str">
        <x:v>article</x:v>
      </x:c>
      <x:c r="I66" s="86" t="str"/>
      <x:c r="J66" s="86" t="str"/>
      <x:c r="K66" s="88" t="str"/>
      <x:c r="L66" s="88" t="str">
        <x:v>Not found in Crossref/OpenAlex/Semantic Scholar</x:v>
      </x:c>
      <x:c r="M66" s="88" t="str"/>
      <x:c r="N66" s="88" t="str"/>
      <x:c r="O66" s="90"/>
      <x:c r="P66" s="90"/>
      <x:c r="Q66" s="86" t="str">
        <x:v>unknown</x:v>
      </x:c>
      <x:c r="R66" s="86"/>
      <x:c r="S66" s="88" t="str"/>
      <x:c r="T66" s="88" t="str">
        <x:v>Bibliographic record could not be reliably resolved</x:v>
      </x:c>
      <x:c r="U66" s="88" t="str">
        <x:v>unresolved</x:v>
      </x:c>
      <x:c r="V66" s="88" t="str">
        <x:v>Unverified</x:v>
      </x:c>
      <x:c r="W66" s="88" t="str">
        <x:v>No reliable external match</x:v>
      </x:c>
      <x:c r="X66" s="88" t="str"/>
      <x:c r="Y66" s="88" t="str"/>
      <x:c r="Z66" s="88" t="str"/>
      <x:c r="AA66" s="88" t="str">
        <x:v>Low-Power Soil pH Measurement Techniques</x:v>
      </x:c>
      <x:c r="AB66" s="88" t="str"/>
      <x:c r="AC66" s="88" t="str">
        <x:v>article</x:v>
      </x:c>
      <x:c r="AD66" s="88" t="str"/>
    </x:row>
    <x:row r="67" ht="48" customHeight="1">
      <x:c r="A67" s="89" t="n">
        <x:v>66</x:v>
      </x:c>
      <x:c r="B67" s="86" t="str">
        <x:v>components1012020bh1750</x:v>
      </x:c>
      <x:c r="C67" s="88" t="str">
        <x:v>BH1750 Light Sensor Module</x:v>
      </x:c>
      <x:c r="D67" s="88" t="str">
        <x:v>Components101</x:v>
      </x:c>
      <x:c r="E67" s="89" t="n">
        <x:v>2020</x:v>
      </x:c>
      <x:c r="F67" s="88" t="str">
        <x:v>Components101</x:v>
      </x:c>
      <x:c r="G67" s="88" t="str"/>
      <x:c r="H67" s="88" t="str">
        <x:v>article</x:v>
      </x:c>
      <x:c r="I67" s="86" t="str"/>
      <x:c r="J67" s="86" t="str"/>
      <x:c r="K67" s="88" t="str"/>
      <x:c r="L67" s="88" t="str">
        <x:v>Not found in Crossref/OpenAlex/Semantic Scholar</x:v>
      </x:c>
      <x:c r="M67" s="88" t="str"/>
      <x:c r="N67" s="88" t="str"/>
      <x:c r="O67" s="90"/>
      <x:c r="P67" s="90"/>
      <x:c r="Q67" s="86" t="str">
        <x:v>unknown</x:v>
      </x:c>
      <x:c r="R67" s="86"/>
      <x:c r="S67" s="88" t="str"/>
      <x:c r="T67" s="88" t="str">
        <x:v>Bibliographic record could not be reliably resolved</x:v>
      </x:c>
      <x:c r="U67" s="88" t="str">
        <x:v>unresolved</x:v>
      </x:c>
      <x:c r="V67" s="88" t="str">
        <x:v>Unverified</x:v>
      </x:c>
      <x:c r="W67" s="88" t="str">
        <x:v>No reliable external match</x:v>
      </x:c>
      <x:c r="X67" s="88" t="str"/>
      <x:c r="Y67" s="88" t="str"/>
      <x:c r="Z67" s="88" t="str"/>
      <x:c r="AA67" s="88" t="str">
        <x:v>BH1750 Light Sensor Module</x:v>
      </x:c>
      <x:c r="AB67" s="88" t="str"/>
      <x:c r="AC67" s="88" t="str">
        <x:v>article</x:v>
      </x:c>
      <x:c r="AD67" s="88" t="str"/>
    </x:row>
    <x:row r="68" ht="48" customHeight="1">
      <x:c r="A68" s="89" t="n">
        <x:v>67</x:v>
      </x:c>
      <x:c r="B68" s="86" t="str">
        <x:v>byrne2022bh1750</x:v>
      </x:c>
      <x:c r="C68" s="88" t="str">
        <x:v>Calibrating the BH1750 for PAR Measurement</x:v>
      </x:c>
      <x:c r="D68" s="88" t="str">
        <x:v>Byrne, M.</x:v>
      </x:c>
      <x:c r="E68" s="89" t="n">
        <x:v>2022</x:v>
      </x:c>
      <x:c r="F68" s="88" t="str">
        <x:v>IotaWatt Engineering Blog</x:v>
      </x:c>
      <x:c r="G68" s="88" t="str"/>
      <x:c r="H68" s="88" t="str">
        <x:v>article</x:v>
      </x:c>
      <x:c r="I68" s="86" t="str"/>
      <x:c r="J68" s="86" t="str"/>
      <x:c r="K68" s="88" t="str"/>
      <x:c r="L68" s="88" t="str">
        <x:v>Not found in Crossref/OpenAlex/Semantic Scholar</x:v>
      </x:c>
      <x:c r="M68" s="88" t="str"/>
      <x:c r="N68" s="88" t="str"/>
      <x:c r="O68" s="90"/>
      <x:c r="P68" s="90"/>
      <x:c r="Q68" s="86" t="str">
        <x:v>unknown</x:v>
      </x:c>
      <x:c r="R68" s="86"/>
      <x:c r="S68" s="88" t="str"/>
      <x:c r="T68" s="88" t="str">
        <x:v>Bibliographic record could not be reliably resolved</x:v>
      </x:c>
      <x:c r="U68" s="88" t="str">
        <x:v>unresolved</x:v>
      </x:c>
      <x:c r="V68" s="88" t="str">
        <x:v>Unverified</x:v>
      </x:c>
      <x:c r="W68" s="88" t="str">
        <x:v>No reliable external match</x:v>
      </x:c>
      <x:c r="X68" s="88" t="str"/>
      <x:c r="Y68" s="88" t="str"/>
      <x:c r="Z68" s="88" t="str"/>
      <x:c r="AA68" s="88" t="str">
        <x:v>Calibrating the BH1750 for PAR Measurement</x:v>
      </x:c>
      <x:c r="AB68" s="88" t="str"/>
      <x:c r="AC68" s="88" t="str">
        <x:v>article</x:v>
      </x:c>
      <x:c r="AD68" s="88" t="str"/>
    </x:row>
    <x:row r="69" ht="48" customHeight="1">
      <x:c r="A69" s="89" t="n">
        <x:v>68</x:v>
      </x:c>
      <x:c r="B69" s="86" t="str">
        <x:v>adafruit2016rfm95w</x:v>
      </x:c>
      <x:c r="C69" s="88" t="str">
        <x:v>RFM95W LoRa Radio Transceiver</x:v>
      </x:c>
      <x:c r="D69" s="88" t="str">
        <x:v>Adafruit Industries</x:v>
      </x:c>
      <x:c r="E69" s="89" t="n">
        <x:v>2016</x:v>
      </x:c>
      <x:c r="F69" s="88" t="str">
        <x:v>Adafruit Product Guide</x:v>
      </x:c>
      <x:c r="G69" s="88" t="str"/>
      <x:c r="H69" s="88" t="str">
        <x:v>article</x:v>
      </x:c>
      <x:c r="I69" s="86" t="str"/>
      <x:c r="J69" s="86" t="str"/>
      <x:c r="K69" s="88" t="str"/>
      <x:c r="L69" s="88" t="str">
        <x:v>Not found in Crossref/OpenAlex/Semantic Scholar</x:v>
      </x:c>
      <x:c r="M69" s="88" t="str"/>
      <x:c r="N69" s="88" t="str"/>
      <x:c r="O69" s="90"/>
      <x:c r="P69" s="90"/>
      <x:c r="Q69" s="86" t="str">
        <x:v>unknown</x:v>
      </x:c>
      <x:c r="R69" s="86"/>
      <x:c r="S69" s="88" t="str"/>
      <x:c r="T69" s="88" t="str">
        <x:v>Bibliographic record could not be reliably resolved</x:v>
      </x:c>
      <x:c r="U69" s="88" t="str">
        <x:v>unresolved</x:v>
      </x:c>
      <x:c r="V69" s="88" t="str">
        <x:v>Unverified</x:v>
      </x:c>
      <x:c r="W69" s="88" t="str">
        <x:v>No reliable external match</x:v>
      </x:c>
      <x:c r="X69" s="88" t="str"/>
      <x:c r="Y69" s="88" t="str"/>
      <x:c r="Z69" s="88" t="str"/>
      <x:c r="AA69" s="88" t="str">
        <x:v>RFM95W LoRa Radio Transceiver</x:v>
      </x:c>
      <x:c r="AB69" s="88" t="str"/>
      <x:c r="AC69" s="88" t="str">
        <x:v>article</x:v>
      </x:c>
      <x:c r="AD69" s="88" t="str"/>
    </x:row>
    <x:row r="70" ht="48" customHeight="1">
      <x:c r="A70" s="89" t="n">
        <x:v>69</x:v>
      </x:c>
      <x:c r="B70" s="86" t="str">
        <x:v>rpi2023specs</x:v>
      </x:c>
      <x:c r="C70" s="88" t="str">
        <x:v>Raspberry Pi 4 Model B Technical Specifications</x:v>
      </x:c>
      <x:c r="D70" s="88" t="str">
        <x:v>Raspberry Pi Foundation</x:v>
      </x:c>
      <x:c r="E70" s="89" t="n">
        <x:v>2023</x:v>
      </x:c>
      <x:c r="F70" s="88" t="str">
        <x:v>Raspberry Pi Documentation</x:v>
      </x:c>
      <x:c r="G70" s="88" t="str"/>
      <x:c r="H70" s="88" t="str">
        <x:v>article</x:v>
      </x:c>
      <x:c r="I70" s="86" t="str"/>
      <x:c r="J70" s="86" t="str"/>
      <x:c r="K70" s="88" t="str"/>
      <x:c r="L70" s="88" t="str">
        <x:v>Not found in Crossref/OpenAlex/Semantic Scholar</x:v>
      </x:c>
      <x:c r="M70" s="88" t="str"/>
      <x:c r="N70" s="88" t="str"/>
      <x:c r="O70" s="90"/>
      <x:c r="P70" s="90"/>
      <x:c r="Q70" s="86" t="str">
        <x:v>unknown</x:v>
      </x:c>
      <x:c r="R70" s="86"/>
      <x:c r="S70" s="88" t="str"/>
      <x:c r="T70" s="88" t="str">
        <x:v>Bibliographic record could not be reliably resolved</x:v>
      </x:c>
      <x:c r="U70" s="88" t="str">
        <x:v>unresolved</x:v>
      </x:c>
      <x:c r="V70" s="88" t="str">
        <x:v>Unverified</x:v>
      </x:c>
      <x:c r="W70" s="88" t="str">
        <x:v>No reliable external match</x:v>
      </x:c>
      <x:c r="X70" s="88" t="str"/>
      <x:c r="Y70" s="88" t="str"/>
      <x:c r="Z70" s="88" t="str"/>
      <x:c r="AA70" s="88" t="str">
        <x:v>Raspberry Pi 4 Model B Technical Specifications</x:v>
      </x:c>
      <x:c r="AB70" s="88" t="str"/>
      <x:c r="AC70" s="88" t="str">
        <x:v>article</x:v>
      </x:c>
      <x:c r="AD70" s="88" t="str"/>
    </x:row>
    <x:row r="71" ht="48" customHeight="1">
      <x:c r="A71" s="89" t="n">
        <x:v>70</x:v>
      </x:c>
      <x:c r="B71" s="86" t="str">
        <x:v>waveshare2024sx1302</x:v>
      </x:c>
      <x:c r="C71" s="88" t="str">
        <x:v>SX1302 LoRaWAN Gateway Module Overview</x:v>
      </x:c>
      <x:c r="D71" s="88" t="str">
        <x:v>Waveshare Electronics</x:v>
      </x:c>
      <x:c r="E71" s="89" t="n">
        <x:v>2024</x:v>
      </x:c>
      <x:c r="F71" s="88" t="str">
        <x:v>Waveshare Wiki</x:v>
      </x:c>
      <x:c r="G71" s="88" t="str"/>
      <x:c r="H71" s="88" t="str">
        <x:v>article</x:v>
      </x:c>
      <x:c r="I71" s="86" t="str"/>
      <x:c r="J71" s="86" t="str"/>
      <x:c r="K71" s="88" t="str"/>
      <x:c r="L71" s="88" t="str">
        <x:v>Not found in Crossref/OpenAlex/Semantic Scholar</x:v>
      </x:c>
      <x:c r="M71" s="88" t="str"/>
      <x:c r="N71" s="88" t="str"/>
      <x:c r="O71" s="90"/>
      <x:c r="P71" s="90"/>
      <x:c r="Q71" s="86" t="str">
        <x:v>unknown</x:v>
      </x:c>
      <x:c r="R71" s="86"/>
      <x:c r="S71" s="88" t="str"/>
      <x:c r="T71" s="88" t="str">
        <x:v>Bibliographic record could not be reliably resolved</x:v>
      </x:c>
      <x:c r="U71" s="88" t="str">
        <x:v>unresolved</x:v>
      </x:c>
      <x:c r="V71" s="88" t="str">
        <x:v>Unverified</x:v>
      </x:c>
      <x:c r="W71" s="88" t="str">
        <x:v>No reliable external match</x:v>
      </x:c>
      <x:c r="X71" s="88" t="str"/>
      <x:c r="Y71" s="88" t="str"/>
      <x:c r="Z71" s="88" t="str"/>
      <x:c r="AA71" s="88" t="str">
        <x:v>SX1302 LoRaWAN Gateway Module Overview</x:v>
      </x:c>
      <x:c r="AB71" s="88" t="str"/>
      <x:c r="AC71" s="88" t="str">
        <x:v>article</x:v>
      </x:c>
      <x:c r="AD71" s="88" t="str"/>
    </x:row>
    <x:row r="72" ht="48" customHeight="1">
      <x:c r="A72" s="89" t="n">
        <x:v>71</x:v>
      </x:c>
      <x:c r="B72" s="86" t="str">
        <x:v>microsoft2023tpm</x:v>
      </x:c>
      <x:c r="C72" s="88" t="str">
        <x:v>Trusted Platform Module (TPM) Technology Overview</x:v>
      </x:c>
      <x:c r="D72" s="88" t="str">
        <x:v>Microsoft Corporation</x:v>
      </x:c>
      <x:c r="E72" s="89" t="n">
        <x:v>2023</x:v>
      </x:c>
      <x:c r="F72" s="88" t="str">
        <x:v>Microsoft Learn</x:v>
      </x:c>
      <x:c r="G72" s="88" t="str"/>
      <x:c r="H72" s="88" t="str">
        <x:v>article</x:v>
      </x:c>
      <x:c r="I72" s="86" t="str"/>
      <x:c r="J72" s="86" t="str"/>
      <x:c r="K72" s="88" t="str"/>
      <x:c r="L72" s="88" t="str">
        <x:v>Not found in Crossref/OpenAlex/Semantic Scholar</x:v>
      </x:c>
      <x:c r="M72" s="88" t="str"/>
      <x:c r="N72" s="88" t="str"/>
      <x:c r="O72" s="90"/>
      <x:c r="P72" s="90"/>
      <x:c r="Q72" s="86" t="str">
        <x:v>unknown</x:v>
      </x:c>
      <x:c r="R72" s="86"/>
      <x:c r="S72" s="88" t="str"/>
      <x:c r="T72" s="88" t="str">
        <x:v>Bibliographic record could not be reliably resolved</x:v>
      </x:c>
      <x:c r="U72" s="88" t="str">
        <x:v>unresolved</x:v>
      </x:c>
      <x:c r="V72" s="88" t="str">
        <x:v>Unverified</x:v>
      </x:c>
      <x:c r="W72" s="88" t="str">
        <x:v>No reliable external match</x:v>
      </x:c>
      <x:c r="X72" s="88" t="str"/>
      <x:c r="Y72" s="88" t="str"/>
      <x:c r="Z72" s="88" t="str"/>
      <x:c r="AA72" s="88" t="str">
        <x:v>Trusted Platform Module (TPM) Technology Overview</x:v>
      </x:c>
      <x:c r="AB72" s="88" t="str"/>
      <x:c r="AC72" s="88" t="str">
        <x:v>article</x:v>
      </x:c>
      <x:c r="AD72" s="88" t="str"/>
    </x:row>
    <x:row r="73" ht="48" customHeight="1">
      <x:c r="A73" s="89" t="n">
        <x:v>72</x:v>
      </x:c>
      <x:c r="B73" s="86" t="str">
        <x:v>ttn2024eu868</x:v>
      </x:c>
      <x:c r="C73" s="88" t="str">
        <x:v>EU868 LoRaWAN Frequency Plan</x:v>
      </x:c>
      <x:c r="D73" s="88" t="str">
        <x:v>The Things Network</x:v>
      </x:c>
      <x:c r="E73" s="89" t="n">
        <x:v>2024</x:v>
      </x:c>
      <x:c r="F73" s="88" t="str">
        <x:v>TTN Documentation</x:v>
      </x:c>
      <x:c r="G73" s="88" t="str"/>
      <x:c r="H73" s="88" t="str">
        <x:v>article</x:v>
      </x:c>
      <x:c r="I73" s="86" t="str"/>
      <x:c r="J73" s="86" t="str"/>
      <x:c r="K73" s="88" t="str"/>
      <x:c r="L73" s="88" t="str">
        <x:v>Not found in Crossref/OpenAlex/Semantic Scholar</x:v>
      </x:c>
      <x:c r="M73" s="88" t="str"/>
      <x:c r="N73" s="88" t="str"/>
      <x:c r="O73" s="90"/>
      <x:c r="P73" s="90"/>
      <x:c r="Q73" s="86" t="str">
        <x:v>unknown</x:v>
      </x:c>
      <x:c r="R73" s="86"/>
      <x:c r="S73" s="88" t="str"/>
      <x:c r="T73" s="88" t="str">
        <x:v>Bibliographic record could not be reliably resolved</x:v>
      </x:c>
      <x:c r="U73" s="88" t="str">
        <x:v>unresolved</x:v>
      </x:c>
      <x:c r="V73" s="88" t="str">
        <x:v>Unverified</x:v>
      </x:c>
      <x:c r="W73" s="88" t="str">
        <x:v>No reliable external match</x:v>
      </x:c>
      <x:c r="X73" s="88" t="str"/>
      <x:c r="Y73" s="88" t="str"/>
      <x:c r="Z73" s="88" t="str"/>
      <x:c r="AA73" s="88" t="str">
        <x:v>EU868 LoRaWAN Frequency Plan</x:v>
      </x:c>
      <x:c r="AB73" s="88" t="str"/>
      <x:c r="AC73" s="88" t="str">
        <x:v>article</x:v>
      </x:c>
      <x:c r="AD73" s="88" t="str"/>
    </x:row>
    <x:row r="74" ht="48" customHeight="1">
      <x:c r="A74" s="89" t="n">
        <x:v>73</x:v>
      </x:c>
      <x:c r="B74" s="86" t="str">
        <x:v>loraalliance2021regional</x:v>
      </x:c>
      <x:c r="C74" s="88" t="str">
        <x:v>LoRaWAN Regional Parameters v1.0</x:v>
      </x:c>
      <x:c r="D74" s="88" t="str">
        <x:v>LoRa Alliance</x:v>
      </x:c>
      <x:c r="E74" s="89" t="n">
        <x:v>2021</x:v>
      </x:c>
      <x:c r="F74" s="88" t="str">
        <x:v>LoRa Alliance Technical Specification</x:v>
      </x:c>
      <x:c r="G74" s="88" t="str"/>
      <x:c r="H74" s="88" t="str">
        <x:v>article</x:v>
      </x:c>
      <x:c r="I74" s="86" t="str"/>
      <x:c r="J74" s="86" t="str"/>
      <x:c r="K74" s="88" t="str"/>
      <x:c r="L74" s="88" t="str">
        <x:v>Not found in Crossref/OpenAlex/Semantic Scholar</x:v>
      </x:c>
      <x:c r="M74" s="88" t="str"/>
      <x:c r="N74" s="88" t="str"/>
      <x:c r="O74" s="90"/>
      <x:c r="P74" s="90"/>
      <x:c r="Q74" s="86" t="str">
        <x:v>unknown</x:v>
      </x:c>
      <x:c r="R74" s="86"/>
      <x:c r="S74" s="88" t="str"/>
      <x:c r="T74" s="88" t="str">
        <x:v>Bibliographic record could not be reliably resolved</x:v>
      </x:c>
      <x:c r="U74" s="88" t="str">
        <x:v>unresolved</x:v>
      </x:c>
      <x:c r="V74" s="88" t="str">
        <x:v>Unverified</x:v>
      </x:c>
      <x:c r="W74" s="88" t="str">
        <x:v>No reliable external match</x:v>
      </x:c>
      <x:c r="X74" s="88" t="str"/>
      <x:c r="Y74" s="88" t="str"/>
      <x:c r="Z74" s="88" t="str"/>
      <x:c r="AA74" s="88" t="str">
        <x:v>LoRaWAN Regional Parameters v1.0</x:v>
      </x:c>
      <x:c r="AB74" s="88" t="str"/>
      <x:c r="AC74" s="88" t="str">
        <x:v>article</x:v>
      </x:c>
      <x:c r="AD74" s="88" t="str"/>
    </x:row>
    <x:row r="75" ht="48" customHeight="1">
      <x:c r="A75" s="89" t="n">
        <x:v>74</x:v>
      </x:c>
      <x:c r="B75" s="86" t="str">
        <x:v>meshunderground2025</x:v>
      </x:c>
      <x:c r="C75" s="88" t="str">
        <x:v>Building a Self-Healing Raspberry Pi Mesh Using BATMAN-adv</x:v>
      </x:c>
      <x:c r="D75" s="88" t="str">
        <x:v>Mesh Underground</x:v>
      </x:c>
      <x:c r="E75" s="89" t="n">
        <x:v>2025</x:v>
      </x:c>
      <x:c r="F75" s="88" t="str"/>
      <x:c r="G75" s="88" t="str"/>
      <x:c r="H75" s="88" t="str">
        <x:v>misc</x:v>
      </x:c>
      <x:c r="I75" s="86" t="str"/>
      <x:c r="J75" s="86" t="str"/>
      <x:c r="K75" s="88" t="str"/>
      <x:c r="L75" s="88" t="str">
        <x:v>Not available; source may not be a journal paper</x:v>
      </x:c>
      <x:c r="M75" s="88" t="str"/>
      <x:c r="N75" s="88" t="str"/>
      <x:c r="O75" s="90"/>
      <x:c r="P75" s="90"/>
      <x:c r="Q75" s="86" t="str">
        <x:v>unknown</x:v>
      </x:c>
      <x:c r="R75" s="86"/>
      <x:c r="S75" s="88" t="str"/>
      <x:c r="T75" s="88" t="str">
        <x:v>Bibliographic record could not be reliably resolved</x:v>
      </x:c>
      <x:c r="U75" s="88" t="str">
        <x:v>unresolved</x:v>
      </x:c>
      <x:c r="V75" s="88" t="str">
        <x:v>Unverified</x:v>
      </x:c>
      <x:c r="W75" s="88" t="str">
        <x:v>No reliable external match</x:v>
      </x:c>
      <x:c r="X75" s="88" t="str"/>
      <x:c r="Y75" s="88" t="str"/>
      <x:c r="Z75" s="88" t="str"/>
      <x:c r="AA75" s="88" t="str">
        <x:v>Building a Self-Healing Raspberry Pi Mesh Using BATMAN-adv</x:v>
      </x:c>
      <x:c r="AB75" s="88" t="str"/>
      <x:c r="AC75" s="88" t="str">
        <x:v>misc</x:v>
      </x:c>
      <x:c r="AD75" s="88" t="str"/>
    </x:row>
    <x:row r="76" ht="48" customHeight="1">
      <x:c r="A76" s="89" t="n">
        <x:v>75</x:v>
      </x:c>
      <x:c r="B76" s="86" t="str">
        <x:v>kishore2015mesh</x:v>
      </x:c>
      <x:c r="C76" s="88" t="str">
        <x:v>Performance Evaluation of Mesh Protocols in Real-Time Test Beds</x:v>
      </x:c>
      <x:c r="D76" s="88" t="str">
        <x:v>Kishore, D. M.</x:v>
      </x:c>
      <x:c r="E76" s="89" t="n">
        <x:v>2015</x:v>
      </x:c>
      <x:c r="F76" s="88" t="str">
        <x:v>International Research Journal of Engineering and Technology</x:v>
      </x:c>
      <x:c r="G76" s="88" t="str"/>
      <x:c r="H76" s="88" t="str">
        <x:v>article</x:v>
      </x:c>
      <x:c r="I76" s="86" t="str"/>
      <x:c r="J76" s="86" t="str"/>
      <x:c r="K76" s="88" t="str"/>
      <x:c r="L76" s="88" t="str">
        <x:v>Not found in Crossref/OpenAlex/Semantic Scholar</x:v>
      </x:c>
      <x:c r="M76" s="88" t="str"/>
      <x:c r="N76" s="88" t="str"/>
      <x:c r="O76" s="90"/>
      <x:c r="P76" s="90"/>
      <x:c r="Q76" s="86" t="str">
        <x:v>unknown</x:v>
      </x:c>
      <x:c r="R76" s="86"/>
      <x:c r="S76" s="88" t="str"/>
      <x:c r="T76" s="88" t="str">
        <x:v>Bibliographic record could not be reliably resolved</x:v>
      </x:c>
      <x:c r="U76" s="88" t="str">
        <x:v>unresolved</x:v>
      </x:c>
      <x:c r="V76" s="88" t="str">
        <x:v>Unverified</x:v>
      </x:c>
      <x:c r="W76" s="88" t="str">
        <x:v>No reliable external match</x:v>
      </x:c>
      <x:c r="X76" s="88" t="str"/>
      <x:c r="Y76" s="88" t="str"/>
      <x:c r="Z76" s="88" t="str"/>
      <x:c r="AA76" s="88" t="str">
        <x:v>Performance Evaluation of Mesh Protocols in Real-Time Test Beds</x:v>
      </x:c>
      <x:c r="AB76" s="88" t="str"/>
      <x:c r="AC76" s="88" t="str">
        <x:v>article</x:v>
      </x:c>
      <x:c r="AD76" s="88" t="str"/>
    </x:row>
    <x:row r="77" ht="48" customHeight="1">
      <x:c r="A77" s="89" t="n">
        <x:v>76</x:v>
      </x:c>
      <x:c r="B77" s="86" t="str">
        <x:v>cpalgCRT</x:v>
      </x:c>
      <x:c r="C77" s="88" t="str">
        <x:v>Chinese Remainder Theorem</x:v>
      </x:c>
      <x:c r="D77" s="88" t="str">
        <x:v>Kamil Debowski and others</x:v>
      </x:c>
      <x:c r="E77" s="89" t="n">
        <x:v>2009</x:v>
      </x:c>
      <x:c r="F77" s="88" t="str">
        <x:v>Applied Algebra</x:v>
      </x:c>
      <x:c r="G77" s="88" t="str">
        <x:v>Chapman and Hall/CRC</x:v>
      </x:c>
      <x:c r="H77" s="88" t="str">
        <x:v>book-chapter</x:v>
      </x:c>
      <x:c r="I77" s="86" t="str">
        <x:v>10.1201/9781439894699-10</x:v>
      </x:c>
      <x:c r="J77" s="86" t="str">
        <x:v>https://doi.org/10.1201/9781439894699-10</x:v>
      </x:c>
      <x:c r="K77" s="88" t="str"/>
      <x:c r="L77" s="88" t="str">
        <x:v>Not available; source may not be a journal paper</x:v>
      </x:c>
      <x:c r="M77" s="88" t="str"/>
      <x:c r="N77" s="88" t="str"/>
      <x:c r="O77" s="90" t="n">
        <x:v>0</x:v>
      </x:c>
      <x:c r="P77" s="90" t="n">
        <x:v>0</x:v>
      </x:c>
      <x:c r="Q77" s="86" t="str">
        <x:v>unknown</x:v>
      </x:c>
      <x:c r="R77" s="86"/>
      <x:c r="S77" s="88" t="str"/>
      <x:c r="T77" s="88" t="str">
        <x:v>Bibliographic record could not be reliably resolved</x:v>
      </x:c>
      <x:c r="U77" s="88" t="str">
        <x:v>unresolved</x:v>
      </x:c>
      <x:c r="V77" s="88" t="str">
        <x:v>Medium</x:v>
      </x:c>
      <x:c r="W77" s="88" t="str">
        <x:v>Crossref title match 75%</x:v>
      </x:c>
      <x:c r="X77" s="88" t="str">
        <x:v>https://doi.org/10.1201/9781439894699-10</x:v>
      </x:c>
      <x:c r="Y77" s="88" t="str"/>
      <x:c r="Z77" s="88" t="str"/>
      <x:c r="AA77" s="88" t="str">
        <x:v>Chinese Remainder Theorem --- cp\_algorithms</x:v>
      </x:c>
      <x:c r="AB77" s="88" t="str"/>
      <x:c r="AC77" s="88" t="str">
        <x:v>misc</x:v>
      </x:c>
      <x:c r="AD77" s="88" t="str"/>
    </x:row>
    <x:row r="78" ht="48" customHeight="1">
      <x:c r="A78" s="89" t="n">
        <x:v>77</x:v>
      </x:c>
      <x:c r="B78" s="86" t="str">
        <x:v>garnersAlgorithm</x:v>
      </x:c>
      <x:c r="C78" s="88" t="str">
        <x:v>Garner's Algorithm --- cp\_algorithms</x:v>
      </x:c>
      <x:c r="D78" s="88" t="str">
        <x:v>Kamil Debowski and others</x:v>
      </x:c>
      <x:c r="E78" s="89" t="n">
        <x:v>2024</x:v>
      </x:c>
      <x:c r="F78" s="88" t="str"/>
      <x:c r="G78" s="88" t="str"/>
      <x:c r="H78" s="88" t="str">
        <x:v>misc</x:v>
      </x:c>
      <x:c r="I78" s="86" t="str"/>
      <x:c r="J78" s="86" t="str"/>
      <x:c r="K78" s="88" t="str"/>
      <x:c r="L78" s="88" t="str">
        <x:v>Not available; source may not be a journal paper</x:v>
      </x:c>
      <x:c r="M78" s="88" t="str"/>
      <x:c r="N78" s="88" t="str"/>
      <x:c r="O78" s="90"/>
      <x:c r="P78" s="90"/>
      <x:c r="Q78" s="86" t="str">
        <x:v>unknown</x:v>
      </x:c>
      <x:c r="R78" s="86"/>
      <x:c r="S78" s="88" t="str"/>
      <x:c r="T78" s="88" t="str">
        <x:v>Bibliographic record could not be reliably resolved</x:v>
      </x:c>
      <x:c r="U78" s="88" t="str">
        <x:v>unresolved</x:v>
      </x:c>
      <x:c r="V78" s="88" t="str">
        <x:v>Unverified</x:v>
      </x:c>
      <x:c r="W78" s="88" t="str">
        <x:v>No reliable external match</x:v>
      </x:c>
      <x:c r="X78" s="88" t="str"/>
      <x:c r="Y78" s="88" t="str"/>
      <x:c r="Z78" s="88" t="str"/>
      <x:c r="AA78" s="88" t="str">
        <x:v>Garner's Algorithm --- cp\_algorithms</x:v>
      </x:c>
      <x:c r="AB78" s="88" t="str"/>
      <x:c r="AC78" s="88" t="str">
        <x:v>misc</x:v>
      </x:c>
      <x:c r="AD78" s="88" t="str"/>
    </x:row>
    <x:row r="79" ht="48" customHeight="1">
      <x:c r="A79" s="89" t="n">
        <x:v>78</x:v>
      </x:c>
      <x:c r="B79" s="86" t="str">
        <x:v>orderingServiceDoc</x:v>
      </x:c>
      <x:c r="C79" s="88" t="str">
        <x:v>Ordering Service Documentation</x:v>
      </x:c>
      <x:c r="D79" s="88" t="str">
        <x:v>Hyperledger Fabric Team</x:v>
      </x:c>
      <x:c r="E79" s="89" t="n">
        <x:v>2024</x:v>
      </x:c>
      <x:c r="F79" s="88" t="str"/>
      <x:c r="G79" s="88" t="str"/>
      <x:c r="H79" s="88" t="str">
        <x:v>misc</x:v>
      </x:c>
      <x:c r="I79" s="86" t="str"/>
      <x:c r="J79" s="86" t="str"/>
      <x:c r="K79" s="88" t="str"/>
      <x:c r="L79" s="88" t="str">
        <x:v>Not available; source may not be a journal paper</x:v>
      </x:c>
      <x:c r="M79" s="88" t="str"/>
      <x:c r="N79" s="88" t="str"/>
      <x:c r="O79" s="90"/>
      <x:c r="P79" s="90"/>
      <x:c r="Q79" s="86" t="str">
        <x:v>unknown</x:v>
      </x:c>
      <x:c r="R79" s="86"/>
      <x:c r="S79" s="88" t="str"/>
      <x:c r="T79" s="88" t="str">
        <x:v>Bibliographic record could not be reliably resolved</x:v>
      </x:c>
      <x:c r="U79" s="88" t="str">
        <x:v>unresolved</x:v>
      </x:c>
      <x:c r="V79" s="88" t="str">
        <x:v>Unverified</x:v>
      </x:c>
      <x:c r="W79" s="88" t="str">
        <x:v>No reliable external match</x:v>
      </x:c>
      <x:c r="X79" s="88" t="str"/>
      <x:c r="Y79" s="88" t="str"/>
      <x:c r="Z79" s="88" t="str"/>
      <x:c r="AA79" s="88" t="str">
        <x:v>Ordering Service Documentation</x:v>
      </x:c>
      <x:c r="AB79" s="88" t="str"/>
      <x:c r="AC79" s="88" t="str">
        <x:v>misc</x:v>
      </x:c>
      <x:c r="AD79" s="88" t="str"/>
    </x:row>
    <x:row r="80" ht="48" customHeight="1">
      <x:c r="A80" s="89" t="n">
        <x:v>79</x:v>
      </x:c>
      <x:c r="B80" s="86" t="str">
        <x:v>ibmFabric</x:v>
      </x:c>
      <x:c r="C80" s="88" t="str">
        <x:v>Hyperledger Fabric Overview</x:v>
      </x:c>
      <x:c r="D80" s="88" t="str">
        <x:v>IBM</x:v>
      </x:c>
      <x:c r="E80" s="89" t="n">
        <x:v>2023</x:v>
      </x:c>
      <x:c r="F80" s="88" t="str"/>
      <x:c r="G80" s="88" t="str"/>
      <x:c r="H80" s="88" t="str">
        <x:v>misc</x:v>
      </x:c>
      <x:c r="I80" s="86" t="str"/>
      <x:c r="J80" s="86" t="str"/>
      <x:c r="K80" s="88" t="str"/>
      <x:c r="L80" s="88" t="str">
        <x:v>Not available; source may not be a journal paper</x:v>
      </x:c>
      <x:c r="M80" s="88" t="str"/>
      <x:c r="N80" s="88" t="str"/>
      <x:c r="O80" s="90"/>
      <x:c r="P80" s="90"/>
      <x:c r="Q80" s="86" t="str">
        <x:v>unknown</x:v>
      </x:c>
      <x:c r="R80" s="86"/>
      <x:c r="S80" s="88" t="str"/>
      <x:c r="T80" s="88" t="str">
        <x:v>Bibliographic record could not be reliably resolved</x:v>
      </x:c>
      <x:c r="U80" s="88" t="str">
        <x:v>unresolved</x:v>
      </x:c>
      <x:c r="V80" s="88" t="str">
        <x:v>Unverified</x:v>
      </x:c>
      <x:c r="W80" s="88" t="str">
        <x:v>No reliable external match</x:v>
      </x:c>
      <x:c r="X80" s="88" t="str"/>
      <x:c r="Y80" s="88" t="str"/>
      <x:c r="Z80" s="88" t="str"/>
      <x:c r="AA80" s="88" t="str">
        <x:v>Hyperledger Fabric Overview</x:v>
      </x:c>
      <x:c r="AB80" s="88" t="str"/>
      <x:c r="AC80" s="88" t="str">
        <x:v>misc</x:v>
      </x:c>
      <x:c r="AD80" s="88" t="str"/>
    </x:row>
    <x:row r="81" ht="48" customHeight="1">
      <x:c r="A81" s="89" t="n">
        <x:v>80</x:v>
      </x:c>
      <x:c r="B81" s="86" t="str">
        <x:v>mdpiAccessControl</x:v>
      </x:c>
      <x:c r="C81" s="88" t="str">
        <x:v>Hyperledger Fabric Access Control System for IoT Layer in Blockchain-Based Applications</x:v>
      </x:c>
      <x:c r="D81" s="88" t="str">
        <x:v>Długosz, Pawel and others</x:v>
      </x:c>
      <x:c r="E81" s="89" t="n">
        <x:v>2022</x:v>
      </x:c>
      <x:c r="F81" s="88" t="str">
        <x:v>Sensors</x:v>
      </x:c>
      <x:c r="G81" s="88" t="str"/>
      <x:c r="H81" s="88" t="str">
        <x:v>article</x:v>
      </x:c>
      <x:c r="I81" s="86" t="str">
        <x:v>10.3390/s22205981</x:v>
      </x:c>
      <x:c r="J81" s="86" t="str">
        <x:v>https://doi.org/10.3390/s22205981</x:v>
      </x:c>
      <x:c r="K81" s="88" t="str"/>
      <x:c r="L81" s="88" t="str">
        <x:v>Not found in Crossref/OpenAlex/Semantic Scholar</x:v>
      </x:c>
      <x:c r="M81" s="88" t="str"/>
      <x:c r="N81" s="88" t="str"/>
      <x:c r="O81" s="90"/>
      <x:c r="P81" s="90"/>
      <x:c r="Q81" s="86" t="str">
        <x:v>unknown</x:v>
      </x:c>
      <x:c r="R81" s="86"/>
      <x:c r="S81" s="88" t="str"/>
      <x:c r="T81" s="88" t="str">
        <x:v>Bibliographic record could not be reliably resolved</x:v>
      </x:c>
      <x:c r="U81" s="88" t="str">
        <x:v>unresolved</x:v>
      </x:c>
      <x:c r="V81" s="88" t="str">
        <x:v>Unverified</x:v>
      </x:c>
      <x:c r="W81" s="88" t="str">
        <x:v>No reliable external match</x:v>
      </x:c>
      <x:c r="X81" s="88" t="str"/>
      <x:c r="Y81" s="88" t="str"/>
      <x:c r="Z81" s="88" t="str"/>
      <x:c r="AA81" s="88" t="str">
        <x:v>Hyperledger Fabric Access Control System for IoT Layer in Blockchain-Based Applications</x:v>
      </x:c>
      <x:c r="AB81" s="88" t="str">
        <x:v>10.3390/s22205981</x:v>
      </x:c>
      <x:c r="AC81" s="88" t="str">
        <x:v>article</x:v>
      </x:c>
      <x:c r="AD81" s="88" t="str"/>
    </x:row>
    <x:row r="82" ht="48" customHeight="1">
      <x:c r="A82" s="89" t="n">
        <x:v>81</x:v>
      </x:c>
      <x:c r="B82" s="86" t="str">
        <x:v>mediumChaincode</x:v>
      </x:c>
      <x:c r="C82" s="88" t="str">
        <x:v>Explained: Chaincode in Hyperledger Fabric</x:v>
      </x:c>
      <x:c r="D82" s="88" t="str">
        <x:v>Kaur, Manpreet</x:v>
      </x:c>
      <x:c r="E82" s="89" t="n">
        <x:v>2020</x:v>
      </x:c>
      <x:c r="F82" s="88" t="str"/>
      <x:c r="G82" s="88" t="str"/>
      <x:c r="H82" s="88" t="str">
        <x:v>misc</x:v>
      </x:c>
      <x:c r="I82" s="86" t="str"/>
      <x:c r="J82" s="86" t="str"/>
      <x:c r="K82" s="88" t="str"/>
      <x:c r="L82" s="88" t="str">
        <x:v>Not available; source may not be a journal paper</x:v>
      </x:c>
      <x:c r="M82" s="88" t="str"/>
      <x:c r="N82" s="88" t="str"/>
      <x:c r="O82" s="90"/>
      <x:c r="P82" s="90"/>
      <x:c r="Q82" s="86" t="str">
        <x:v>unknown</x:v>
      </x:c>
      <x:c r="R82" s="86"/>
      <x:c r="S82" s="88" t="str"/>
      <x:c r="T82" s="88" t="str">
        <x:v>Bibliographic record could not be reliably resolved</x:v>
      </x:c>
      <x:c r="U82" s="88" t="str">
        <x:v>unresolved</x:v>
      </x:c>
      <x:c r="V82" s="88" t="str">
        <x:v>Unverified</x:v>
      </x:c>
      <x:c r="W82" s="88" t="str">
        <x:v>No reliable external match</x:v>
      </x:c>
      <x:c r="X82" s="88" t="str"/>
      <x:c r="Y82" s="88" t="str"/>
      <x:c r="Z82" s="88" t="str"/>
      <x:c r="AA82" s="88" t="str">
        <x:v>Explained: Chaincode in Hyperledger Fabric</x:v>
      </x:c>
      <x:c r="AB82" s="88" t="str"/>
      <x:c r="AC82" s="88" t="str">
        <x:v>misc</x:v>
      </x:c>
      <x:c r="AD82" s="88" t="str"/>
    </x:row>
    <x:row r="83" ht="48" customHeight="1">
      <x:c r="A83" s="89" t="n">
        <x:v>82</x:v>
      </x:c>
      <x:c r="B83" s="86" t="str">
        <x:v>privateDataDoc</x:v>
      </x:c>
      <x:c r="C83" s="88" t="str">
        <x:v>Private Data Collections Documentation</x:v>
      </x:c>
      <x:c r="D83" s="88" t="str">
        <x:v>Hyperledger Fabric Team</x:v>
      </x:c>
      <x:c r="E83" s="89" t="n">
        <x:v>2024</x:v>
      </x:c>
      <x:c r="F83" s="88" t="str"/>
      <x:c r="G83" s="88" t="str"/>
      <x:c r="H83" s="88" t="str">
        <x:v>misc</x:v>
      </x:c>
      <x:c r="I83" s="86" t="str"/>
      <x:c r="J83" s="86" t="str"/>
      <x:c r="K83" s="88" t="str"/>
      <x:c r="L83" s="88" t="str">
        <x:v>Not available; source may not be a journal paper</x:v>
      </x:c>
      <x:c r="M83" s="88" t="str"/>
      <x:c r="N83" s="88" t="str"/>
      <x:c r="O83" s="90"/>
      <x:c r="P83" s="90"/>
      <x:c r="Q83" s="86" t="str">
        <x:v>unknown</x:v>
      </x:c>
      <x:c r="R83" s="86"/>
      <x:c r="S83" s="88" t="str"/>
      <x:c r="T83" s="88" t="str">
        <x:v>Bibliographic record could not be reliably resolved</x:v>
      </x:c>
      <x:c r="U83" s="88" t="str">
        <x:v>unresolved</x:v>
      </x:c>
      <x:c r="V83" s="88" t="str">
        <x:v>Unverified</x:v>
      </x:c>
      <x:c r="W83" s="88" t="str">
        <x:v>No reliable external match</x:v>
      </x:c>
      <x:c r="X83" s="88" t="str"/>
      <x:c r="Y83" s="88" t="str"/>
      <x:c r="Z83" s="88" t="str"/>
      <x:c r="AA83" s="88" t="str">
        <x:v>Private Data Collections Documentation</x:v>
      </x:c>
      <x:c r="AB83" s="88" t="str"/>
      <x:c r="AC83" s="88" t="str">
        <x:v>misc</x:v>
      </x:c>
      <x:c r="AD83" s="88" t="str"/>
    </x:row>
    <x:row r="84" ht="48" customHeight="1">
      <x:c r="A84" s="89" t="n">
        <x:v>83</x:v>
      </x:c>
      <x:c r="B84" s="86" t="str">
        <x:v>johnny2024tomato</x:v>
      </x:c>
      <x:c r="C84" s="88" t="str">
        <x:v>How to Grow Tomatoes from Seed</x:v>
      </x:c>
      <x:c r="D84" s="88" t="str">
        <x:v>Johnny's Selected Seeds</x:v>
      </x:c>
      <x:c r="E84" s="89" t="n">
        <x:v>2024</x:v>
      </x:c>
      <x:c r="F84" s="88" t="str"/>
      <x:c r="G84" s="88" t="str"/>
      <x:c r="H84" s="88" t="str">
        <x:v>misc</x:v>
      </x:c>
      <x:c r="I84" s="86" t="str"/>
      <x:c r="J84" s="86" t="str"/>
      <x:c r="K84" s="88" t="str"/>
      <x:c r="L84" s="88" t="str">
        <x:v>Not available; source may not be a journal paper</x:v>
      </x:c>
      <x:c r="M84" s="88" t="str"/>
      <x:c r="N84" s="88" t="str"/>
      <x:c r="O84" s="90"/>
      <x:c r="P84" s="90"/>
      <x:c r="Q84" s="86" t="str">
        <x:v>unknown</x:v>
      </x:c>
      <x:c r="R84" s="86"/>
      <x:c r="S84" s="88" t="str"/>
      <x:c r="T84" s="88" t="str">
        <x:v>Bibliographic record could not be reliably resolved</x:v>
      </x:c>
      <x:c r="U84" s="88" t="str">
        <x:v>unresolved</x:v>
      </x:c>
      <x:c r="V84" s="88" t="str">
        <x:v>Unverified</x:v>
      </x:c>
      <x:c r="W84" s="88" t="str">
        <x:v>No reliable external match</x:v>
      </x:c>
      <x:c r="X84" s="88" t="str"/>
      <x:c r="Y84" s="88" t="str"/>
      <x:c r="Z84" s="88" t="str"/>
      <x:c r="AA84" s="88" t="str">
        <x:v>How to Grow Tomatoes from Seed</x:v>
      </x:c>
      <x:c r="AB84" s="88" t="str"/>
      <x:c r="AC84" s="88" t="str">
        <x:v>misc</x:v>
      </x:c>
      <x:c r="AD84" s="88" t="str"/>
    </x:row>
    <x:row r="85" ht="48" customHeight="1">
      <x:c r="A85" s="89" t="n">
        <x:v>84</x:v>
      </x:c>
      <x:c r="B85" s="86" t="str">
        <x:v>seedco2021tomato</x:v>
      </x:c>
      <x:c r="C85" s="88" t="str">
        <x:v>Field Tomato Production Guide</x:v>
      </x:c>
      <x:c r="D85" s="88" t="str">
        <x:v>Prime SeedCo</x:v>
      </x:c>
      <x:c r="E85" s="89" t="n">
        <x:v>2021</x:v>
      </x:c>
      <x:c r="F85" s="88" t="str"/>
      <x:c r="G85" s="88" t="str"/>
      <x:c r="H85" s="88" t="str">
        <x:v>misc</x:v>
      </x:c>
      <x:c r="I85" s="86" t="str"/>
      <x:c r="J85" s="86" t="str"/>
      <x:c r="K85" s="88" t="str"/>
      <x:c r="L85" s="88" t="str">
        <x:v>Not available; source may not be a journal paper</x:v>
      </x:c>
      <x:c r="M85" s="88" t="str"/>
      <x:c r="N85" s="88" t="str"/>
      <x:c r="O85" s="90"/>
      <x:c r="P85" s="90"/>
      <x:c r="Q85" s="86" t="str">
        <x:v>unknown</x:v>
      </x:c>
      <x:c r="R85" s="86"/>
      <x:c r="S85" s="88" t="str"/>
      <x:c r="T85" s="88" t="str">
        <x:v>Bibliographic record could not be reliably resolved</x:v>
      </x:c>
      <x:c r="U85" s="88" t="str">
        <x:v>unresolved</x:v>
      </x:c>
      <x:c r="V85" s="88" t="str">
        <x:v>Unverified</x:v>
      </x:c>
      <x:c r="W85" s="88" t="str">
        <x:v>No reliable external match</x:v>
      </x:c>
      <x:c r="X85" s="88" t="str"/>
      <x:c r="Y85" s="88" t="str"/>
      <x:c r="Z85" s="88" t="str"/>
      <x:c r="AA85" s="88" t="str">
        <x:v>Field Tomato Production Guide</x:v>
      </x:c>
      <x:c r="AB85" s="88" t="str"/>
      <x:c r="AC85" s="88" t="str">
        <x:v>misc</x:v>
      </x:c>
      <x:c r="AD85" s="88" t="str"/>
    </x:row>
    <x:row r="86" ht="48" customHeight="1">
      <x:c r="A86" s="89" t="n">
        <x:v>85</x:v>
      </x:c>
      <x:c r="B86" s="86" t="str">
        <x:v>UCIPM2024</x:v>
      </x:c>
      <x:c r="C86" s="88" t="str">
        <x:v>Fertilization: Tomato Pest Management Guidelines</x:v>
      </x:c>
      <x:c r="D86" s="88" t="str">
        <x:v>UC ANR Statewide Integrated Pest Management Program</x:v>
      </x:c>
      <x:c r="E86" s="89" t="n">
        <x:v>2024</x:v>
      </x:c>
      <x:c r="F86" s="88" t="str"/>
      <x:c r="G86" s="88" t="str"/>
      <x:c r="H86" s="88" t="str">
        <x:v>misc</x:v>
      </x:c>
      <x:c r="I86" s="86" t="str"/>
      <x:c r="J86" s="86" t="str"/>
      <x:c r="K86" s="88" t="str"/>
      <x:c r="L86" s="88" t="str">
        <x:v>Not available; source may not be a journal paper</x:v>
      </x:c>
      <x:c r="M86" s="88" t="str"/>
      <x:c r="N86" s="88" t="str"/>
      <x:c r="O86" s="90"/>
      <x:c r="P86" s="90"/>
      <x:c r="Q86" s="86" t="str">
        <x:v>unknown</x:v>
      </x:c>
      <x:c r="R86" s="86"/>
      <x:c r="S86" s="88" t="str"/>
      <x:c r="T86" s="88" t="str">
        <x:v>Bibliographic record could not be reliably resolved</x:v>
      </x:c>
      <x:c r="U86" s="88" t="str">
        <x:v>unresolved</x:v>
      </x:c>
      <x:c r="V86" s="88" t="str">
        <x:v>Unverified</x:v>
      </x:c>
      <x:c r="W86" s="88" t="str">
        <x:v>No reliable external match</x:v>
      </x:c>
      <x:c r="X86" s="88" t="str"/>
      <x:c r="Y86" s="88" t="str"/>
      <x:c r="Z86" s="88" t="str"/>
      <x:c r="AA86" s="88" t="str">
        <x:v>Fertilization: Tomato Pest Management Guidelines</x:v>
      </x:c>
      <x:c r="AB86" s="88" t="str"/>
      <x:c r="AC86" s="88" t="str">
        <x:v>misc</x:v>
      </x:c>
      <x:c r="AD86" s="88" t="str"/>
    </x:row>
    <x:row r="87" ht="48" customHeight="1">
      <x:c r="A87" s="89" t="n">
        <x:v>86</x:v>
      </x:c>
      <x:c r="B87" s="86" t="str">
        <x:v>MU2020tomato</x:v>
      </x:c>
      <x:c r="C87" s="88" t="str">
        <x:v>Growing Tomatoes in the Home Garden</x:v>
      </x:c>
      <x:c r="D87" s="88" t="str">
        <x:v>Dennis R Pittenger; Nancy F Garrison; Pamela M Geisel; Carolyn L Unruh</x:v>
      </x:c>
      <x:c r="E87" s="89" t="n">
        <x:v>2005</x:v>
      </x:c>
      <x:c r="F87" s="88" t="str">
        <x:v>MOspace Institutional Repository (University of Missouri)</x:v>
      </x:c>
      <x:c r="G87" s="88" t="str">
        <x:v>University of California, Agriculture and Natural Resources</x:v>
      </x:c>
      <x:c r="H87" s="88" t="str">
        <x:v>monograph</x:v>
      </x:c>
      <x:c r="I87" s="86" t="str">
        <x:v>10.3733/ucanr.8159</x:v>
      </x:c>
      <x:c r="J87" s="86" t="str">
        <x:v>https://doi.org/10.3733/ucanr.8159</x:v>
      </x:c>
      <x:c r="K87" s="88" t="str">
        <x:v>The tomato is America's most popular home garden crop. Tomatoes require a small area, bear repeatedly, are widely adapted and easy to grow, and have many culinary uses. Tomatoes are rich in vitamins A and C, low in calories, and an excellent source of lycopene, the pigment that makes tomatoes red and has been linked to the prevention of many forms of cancer.</x:v>
      </x:c>
      <x:c r="L87" s="88" t="str">
        <x:v>Available</x:v>
      </x:c>
      <x:c r="M87" s="88" t="str">
        <x:v>OpenAlex</x:v>
      </x:c>
      <x:c r="N87" s="88" t="str">
        <x:v>Flowering Plant Growth and Cultivation; Geography</x:v>
      </x:c>
      <x:c r="O87" s="90" t="n">
        <x:v>4</x:v>
      </x:c>
      <x:c r="P87" s="90" t="n">
        <x:v>0</x:v>
      </x:c>
      <x:c r="Q87" s="86" t="str">
        <x:v>green</x:v>
      </x:c>
      <x:c r="R87" s="87" t="b">
        <x:v>1</x:v>
      </x:c>
      <x:c r="S87" s="88" t="str"/>
      <x:c r="T87" s="88" t="str">
        <x:v>Publication matched; an OA landing page or metadata record was found, but no downloadable PDF was retrieved</x:v>
      </x:c>
      <x:c r="U87" s="88" t="str">
        <x:v>matched</x:v>
      </x:c>
      <x:c r="V87" s="88" t="str">
        <x:v>Medium</x:v>
      </x:c>
      <x:c r="W87" s="88" t="str">
        <x:v>Crossref title match 80%</x:v>
      </x:c>
      <x:c r="X87" s="88" t="str">
        <x:v>https://doi.org/10.3733/ucanr.8159</x:v>
      </x:c>
      <x:c r="Y87" s="88" t="str">
        <x:v>https://openalex.org/W2605054146</x:v>
      </x:c>
      <x:c r="Z87" s="88" t="str">
        <x:v>https://www.semanticscholar.org/paper/617b487df0c33d4b41e1c735b45da0a0607d7509</x:v>
      </x:c>
      <x:c r="AA87" s="88" t="str">
        <x:v>Growing Home Garden Tomatoes</x:v>
      </x:c>
      <x:c r="AB87" s="88" t="str"/>
      <x:c r="AC87" s="88" t="str">
        <x:v>misc</x:v>
      </x:c>
      <x:c r="AD87" s="88" t="str">
        <x:v>OA location did not return a PDF</x:v>
      </x:c>
    </x:row>
    <x:row r="88" ht="48" customHeight="1">
      <x:c r="A88" s="89" t="n">
        <x:v>87</x:v>
      </x:c>
      <x:c r="B88" s="86" t="str">
        <x:v>UNebraska2008peppers</x:v>
      </x:c>
      <x:c r="C88" s="88" t="str">
        <x:v>Garden Peppers (NebGuide G1879)</x:v>
      </x:c>
      <x:c r="D88" s="88" t="str">
        <x:v>Lindgren, Dale T. and Hodges, Laurie and Browning, Sarah J.</x:v>
      </x:c>
      <x:c r="E88" s="89" t="n">
        <x:v>2008</x:v>
      </x:c>
      <x:c r="F88" s="88" t="str"/>
      <x:c r="G88" s="88" t="str"/>
      <x:c r="H88" s="88" t="str">
        <x:v>misc</x:v>
      </x:c>
      <x:c r="I88" s="86" t="str"/>
      <x:c r="J88" s="86" t="str"/>
      <x:c r="K88" s="88" t="str"/>
      <x:c r="L88" s="88" t="str">
        <x:v>Not available; source may not be a journal paper</x:v>
      </x:c>
      <x:c r="M88" s="88" t="str"/>
      <x:c r="N88" s="88" t="str"/>
      <x:c r="O88" s="90"/>
      <x:c r="P88" s="90"/>
      <x:c r="Q88" s="86" t="str">
        <x:v>unknown</x:v>
      </x:c>
      <x:c r="R88" s="86"/>
      <x:c r="S88" s="88" t="str"/>
      <x:c r="T88" s="88" t="str">
        <x:v>Bibliographic record could not be reliably resolved</x:v>
      </x:c>
      <x:c r="U88" s="88" t="str">
        <x:v>unresolved</x:v>
      </x:c>
      <x:c r="V88" s="88" t="str">
        <x:v>Unverified</x:v>
      </x:c>
      <x:c r="W88" s="88" t="str">
        <x:v>No reliable external match</x:v>
      </x:c>
      <x:c r="X88" s="88" t="str"/>
      <x:c r="Y88" s="88" t="str"/>
      <x:c r="Z88" s="88" t="str"/>
      <x:c r="AA88" s="88" t="str">
        <x:v>Garden Peppers (NebGuide G1879)</x:v>
      </x:c>
      <x:c r="AB88" s="88" t="str"/>
      <x:c r="AC88" s="88" t="str">
        <x:v>misc</x:v>
      </x:c>
      <x:c r="AD88" s="88" t="str"/>
    </x:row>
    <x:row r="89" ht="48" customHeight="1">
      <x:c r="A89" s="89" t="n">
        <x:v>88</x:v>
      </x:c>
      <x:c r="B89" s="86" t="str">
        <x:v>Rutgers2025peppers</x:v>
      </x:c>
      <x:c r="C89" s="88" t="str">
        <x:v>Peppers — Mid-Atlantic Commercial Vegetable Production Recommendations 2024/2025</x:v>
      </x:c>
      <x:c r="D89" s="88" t="str">
        <x:v>Rutgers Cooperative Extension</x:v>
      </x:c>
      <x:c r="E89" s="89" t="n">
        <x:v>2024</x:v>
      </x:c>
      <x:c r="F89" s="88" t="str"/>
      <x:c r="G89" s="88" t="str"/>
      <x:c r="H89" s="88" t="str">
        <x:v>misc</x:v>
      </x:c>
      <x:c r="I89" s="86" t="str"/>
      <x:c r="J89" s="86" t="str"/>
      <x:c r="K89" s="88" t="str"/>
      <x:c r="L89" s="88" t="str">
        <x:v>Not available; source may not be a journal paper</x:v>
      </x:c>
      <x:c r="M89" s="88" t="str"/>
      <x:c r="N89" s="88" t="str"/>
      <x:c r="O89" s="90"/>
      <x:c r="P89" s="90"/>
      <x:c r="Q89" s="86" t="str">
        <x:v>unknown</x:v>
      </x:c>
      <x:c r="R89" s="86"/>
      <x:c r="S89" s="88" t="str"/>
      <x:c r="T89" s="88" t="str">
        <x:v>Bibliographic record could not be reliably resolved</x:v>
      </x:c>
      <x:c r="U89" s="88" t="str">
        <x:v>unresolved</x:v>
      </x:c>
      <x:c r="V89" s="88" t="str">
        <x:v>Unverified</x:v>
      </x:c>
      <x:c r="W89" s="88" t="str">
        <x:v>No reliable external match</x:v>
      </x:c>
      <x:c r="X89" s="88" t="str"/>
      <x:c r="Y89" s="88" t="str"/>
      <x:c r="Z89" s="88" t="str"/>
      <x:c r="AA89" s="88" t="str">
        <x:v>Peppers — Mid-Atlantic Commercial Vegetable Production Recommendations 2024/2025</x:v>
      </x:c>
      <x:c r="AB89" s="88" t="str"/>
      <x:c r="AC89" s="88" t="str">
        <x:v>misc</x:v>
      </x:c>
      <x:c r="AD89" s="88" t="str"/>
    </x:row>
    <x:row r="90" ht="48" customHeight="1">
      <x:c r="A90" s="89" t="n">
        <x:v>89</x:v>
      </x:c>
      <x:c r="B90" s="86" t="str">
        <x:v>shimray2019kingchili</x:v>
      </x:c>
      <x:c r="C90" s="88" t="str">
        <x:v>Effect of Spacing and Nutrient Management on Growth and Yield of King Chilli (Capsicum chinense Jacq.) Grown Under Protected Condition</x:v>
      </x:c>
      <x:c r="D90" s="88" t="str">
        <x:v>Akhoki G. Shimray; Pranabjyoti Sarma; Ps. Mariam Anal; P. Debnath; S. Romen Singh; Sudeshna Kharga; Senjem Semba</x:v>
      </x:c>
      <x:c r="E90" s="89" t="n">
        <x:v>2019</x:v>
      </x:c>
      <x:c r="F90" s="88" t="str">
        <x:v>International Journal of Current Microbiology and Applied Sciences</x:v>
      </x:c>
      <x:c r="G90" s="88" t="str">
        <x:v>Excellent Publishers</x:v>
      </x:c>
      <x:c r="H90" s="88" t="str">
        <x:v>journal-article</x:v>
      </x:c>
      <x:c r="I90" s="86" t="str">
        <x:v>10.20546/ijcmas.2019.808.318</x:v>
      </x:c>
      <x:c r="J90" s="86" t="str">
        <x:v>https://doi.org/10.20546/ijcmas.2019.808.318</x:v>
      </x:c>
      <x:c r="K90" s="88" t="str">
        <x:v>The experiment entitled “Effect of Spacing and Nutrient Management on Growth and Yield of King Chilli (Capsicum chinense Jacq.) grown under Protected Condition” was carried out during the year 2017-2018 under polyhouse at College of Horticulture and Forestry, Central Agricultural University, Pasighat, Arunachal Pradesh. Nine treatments with two factors (spacing and Nutrient) i.e. 3 spacing levels S1 (60 cm x 60 cm), S2 (60 cm x 75 cm), S3 (60 cm x 90 cm) and 3 nutrient levels N1 (90:45:45 kg NPK/ha + 20 t FYM/ha), N2 (120:60:60 kg NPK/ha +15 t FYM/ha) and N3 (150:75:75 kg NPK/ha + 10 t FYM/ha) were arranged in factorial RBD design, in order to study the effect of various spacing and nutrient level on growth and yield of king chilli under protected condition. The plants grown in lowest spacing level S1 obtained the maximum plant height (205.73 cm), highest number of leaves/plant (1125.29), the least number of days to first flowering, 50% flowering first fruiting, 50% fruiting, longest fruit length (73.16 mm) and fruit girth (106.11 mm). While spacing level S3 resulted in highest number of fruit/plant (175.72), fruit yield/plant (1.35 kg). The nutrient level N3 resulted in highest plant growth parameters, number of fruits/plant (142.53), fruit yield/plant (1.13 kg). The least number of days required to first flowering and fruiting, 50% flowering and fruiting days to red ripe maturity, maximum fruit length and girth was obtained in S1N1. While maximum number of fruits 185.13/plant, fruit yield 1.45 kg/plant were obtained from S1N3 i.e. 60 cm x 90 cm + 150:75:75 kg NPK/ha + 10 t FYM/ha.</x:v>
      </x:c>
      <x:c r="L90" s="88" t="str">
        <x:v>Available</x:v>
      </x:c>
      <x:c r="M90" s="88" t="str">
        <x:v>OpenAlex</x:v>
      </x:c>
      <x:c r="N90" s="88" t="str">
        <x:v>Agricultural Science and Fertilization; Pineapple and bromelain studies; Biology</x:v>
      </x:c>
      <x:c r="O90" s="90" t="n">
        <x:v>0</x:v>
      </x:c>
      <x:c r="P90" s="90" t="n">
        <x:v>0</x:v>
      </x:c>
      <x:c r="Q90" s="86" t="str">
        <x:v>diamond</x:v>
      </x:c>
      <x:c r="R90" s="87" t="b">
        <x:v>1</x:v>
      </x:c>
      <x:c r="S90" s="88" t="str"/>
      <x:c r="T90" s="88" t="str">
        <x:v>Publication matched; an OA landing page or metadata record was found, but no downloadable PDF was retrieved</x:v>
      </x:c>
      <x:c r="U90" s="88" t="str">
        <x:v>matched</x:v>
      </x:c>
      <x:c r="V90" s="88" t="str">
        <x:v>High</x:v>
      </x:c>
      <x:c r="W90" s="88" t="str">
        <x:v>DOI resolved in Crossref</x:v>
      </x:c>
      <x:c r="X90" s="88" t="str">
        <x:v>https://doi.org/10.20546/ijcmas.2019.808.318</x:v>
      </x:c>
      <x:c r="Y90" s="88" t="str">
        <x:v>https://openalex.org/W2978721911</x:v>
      </x:c>
      <x:c r="Z90" s="88" t="str">
        <x:v>https://www.semanticscholar.org/paper/52dce58965e264e82e515a224bf9d2c13ac8e732</x:v>
      </x:c>
      <x:c r="AA90" s="88" t="str">
        <x:v>Effect of Spacing and Nutrient Management on Growth and Yield of King Chilli (Capsicum chinense)</x:v>
      </x:c>
      <x:c r="AB90" s="88" t="str">
        <x:v>10.20546/ijcmas.2019.808.318</x:v>
      </x:c>
      <x:c r="AC90" s="88" t="str">
        <x:v>article</x:v>
      </x:c>
      <x:c r="AD90" s="88" t="str">
        <x:v>OA location did not return a PDF</x:v>
      </x:c>
    </x:row>
    <x:row r="91" ht="48" customHeight="1">
      <x:c r="A91" s="89" t="n">
        <x:v>90</x:v>
      </x:c>
      <x:c r="B91" s="86" t="str">
        <x:v>mozambique2021lorawan</x:v>
      </x:c>
      <x:c r="C91" s="88" t="str">
        <x:v>A study of LoRaWAN protocol performance for IoT applications in smart agriculture</x:v>
      </x:c>
      <x:c r="D91" s="88" t="str">
        <x:v>Badreddine Miles; El-Bay Bourennane; Samia Boucherkha; Salim Chikhi</x:v>
      </x:c>
      <x:c r="E91" s="89" t="n">
        <x:v>2020</x:v>
      </x:c>
      <x:c r="F91" s="88" t="str">
        <x:v>Computer Communications</x:v>
      </x:c>
      <x:c r="G91" s="88" t="str">
        <x:v>Elsevier BV</x:v>
      </x:c>
      <x:c r="H91" s="88" t="str">
        <x:v>journal-article</x:v>
      </x:c>
      <x:c r="I91" s="86" t="str">
        <x:v>10.1016/j.comcom.2020.10.009</x:v>
      </x:c>
      <x:c r="J91" s="86" t="str">
        <x:v>https://doi.org/10.1016/j.comcom.2020.10.009</x:v>
      </x:c>
      <x:c r="K91" s="88" t="str">
        <x:v>Abstract The use of Internet of Things (IoT) is becoming increasingly common in agribusiness to increase food production capacity for the expanding global population. Recently, low-power wide-area networks (LPWANs) have been used in the development of IoT applications that require low power consumption and low data transmission rates. LoRaWAN is considered the most suitable communication network for LPWANs for IoT applications in smart agriculture. In this paper, we present an in-depth study of the performance of the LoRaWAN communication network in the context of an IoT application for a pilot farm. We consider several scenarios and analyze simulation results by using Network Simulator 3. We then propose a mathematical model that precisely predicts the successful packet delivery rate for this type of network considering the number of nodes and the transmission interval duration. Finally, we validate the results of our model by comparing them with other simulation results under different scenarios.</x:v>
      </x:c>
      <x:c r="L91" s="88" t="str">
        <x:v>Available</x:v>
      </x:c>
      <x:c r="M91" s="88" t="str">
        <x:v>Semantic Scholar</x:v>
      </x:c>
      <x:c r="N91" s="88" t="str">
        <x:v>IoT Networks and Protocols; IoT and Edge/Fog Computing; Computer Science</x:v>
      </x:c>
      <x:c r="O91" s="90" t="n">
        <x:v>115</x:v>
      </x:c>
      <x:c r="P91" s="90" t="n">
        <x:v>41</x:v>
      </x:c>
      <x:c r="Q91" s="86" t="str">
        <x:v>closed</x:v>
      </x:c>
      <x:c r="R91" s="87" t="b">
        <x:v>0</x:v>
      </x:c>
      <x:c r="S91" s="88" t="str">
        <x:v>https://www.elsevier.com/tdm/userlicense/1.0/; https://www.elsevier.com/legal/tdmrep-license</x:v>
      </x:c>
      <x:c r="T91" s="88" t="str">
        <x:v>Publication matched, but no lawful direct open-access PDF was found</x:v>
      </x:c>
      <x:c r="U91" s="88" t="str">
        <x:v>matched_no_oa_pdf</x:v>
      </x:c>
      <x:c r="V91" s="88" t="str">
        <x:v>High</x:v>
      </x:c>
      <x:c r="W91" s="88" t="str">
        <x:v>DOI resolved in Crossref</x:v>
      </x:c>
      <x:c r="X91" s="88" t="str">
        <x:v>https://doi.org/10.1016/j.comcom.2020.10.009</x:v>
      </x:c>
      <x:c r="Y91" s="88" t="str">
        <x:v>https://openalex.org/W3093278734</x:v>
      </x:c>
      <x:c r="Z91" s="88" t="str">
        <x:v>https://www.semanticscholar.org/paper/e04d826dad92cae886c874d75417f486b0f94816</x:v>
      </x:c>
      <x:c r="AA91" s="88" t="str">
        <x:v>A Study of LoRaWAN Protocol Performance for IoT Applications in Smart Agriculture</x:v>
      </x:c>
      <x:c r="AB91" s="88" t="str">
        <x:v>10.1016/j.comcom.2020.10.009</x:v>
      </x:c>
      <x:c r="AC91" s="88" t="str">
        <x:v>article</x:v>
      </x:c>
      <x:c r="AD91" s="88" t="str"/>
    </x:row>
    <x:row r="92" ht="48" customHeight="1">
      <x:c r="A92" s="89" t="n">
        <x:v>91</x:v>
      </x:c>
      <x:c r="B92" s="86" t="str">
        <x:v>centenaro2016lorawanlimits</x:v>
      </x:c>
      <x:c r="C92" s="88" t="str">
        <x:v>Long-range communications in unlicensed bands: The LoRa technology</x:v>
      </x:c>
      <x:c r="D92" s="88" t="str">
        <x:v>Centenaro, Marco and Vangelista, Lorenzo and Zanella, Andrea and Zorzi, Michele</x:v>
      </x:c>
      <x:c r="E92" s="89" t="n">
        <x:v>2016</x:v>
      </x:c>
      <x:c r="F92" s="88" t="str">
        <x:v>IEEE Wireless Communications</x:v>
      </x:c>
      <x:c r="G92" s="88" t="str"/>
      <x:c r="H92" s="88" t="str">
        <x:v>article</x:v>
      </x:c>
      <x:c r="I92" s="86" t="str"/>
      <x:c r="J92" s="86" t="str"/>
      <x:c r="K92" s="88" t="str"/>
      <x:c r="L92" s="88" t="str">
        <x:v>Not found in Crossref/OpenAlex/Semantic Scholar</x:v>
      </x:c>
      <x:c r="M92" s="88" t="str"/>
      <x:c r="N92" s="88" t="str"/>
      <x:c r="O92" s="90"/>
      <x:c r="P92" s="90"/>
      <x:c r="Q92" s="86" t="str">
        <x:v>unknown</x:v>
      </x:c>
      <x:c r="R92" s="86"/>
      <x:c r="S92" s="88" t="str"/>
      <x:c r="T92" s="88" t="str">
        <x:v>Bibliographic record could not be reliably resolved</x:v>
      </x:c>
      <x:c r="U92" s="88" t="str">
        <x:v>unresolved</x:v>
      </x:c>
      <x:c r="V92" s="88" t="str">
        <x:v>Unverified</x:v>
      </x:c>
      <x:c r="W92" s="88" t="str">
        <x:v>No reliable external match</x:v>
      </x:c>
      <x:c r="X92" s="88" t="str"/>
      <x:c r="Y92" s="88" t="str"/>
      <x:c r="Z92" s="88" t="str"/>
      <x:c r="AA92" s="88" t="str">
        <x:v>Long-range communications in unlicensed bands: The LoRa technology</x:v>
      </x:c>
      <x:c r="AB92" s="88" t="str"/>
      <x:c r="AC92" s="88" t="str">
        <x:v>article</x:v>
      </x:c>
      <x:c r="AD92" s="88" t="str"/>
    </x:row>
    <x:row r="93" ht="48" customHeight="1">
      <x:c r="A93" s="89" t="n">
        <x:v>92</x:v>
      </x:c>
      <x:c r="B93" s="86" t="str">
        <x:v>greenbeans2013sensor</x:v>
      </x:c>
      <x:c r="C93" s="88" t="str">
        <x:v>Physiological response of red pepper to different irrigation regimes under drip irrigation in the Mediterranean region of Turkey</x:v>
      </x:c>
      <x:c r="D93" s="88" t="str">
        <x:v>Semih Metin Sezen; Attila Yazar; Servet Tekin</x:v>
      </x:c>
      <x:c r="E93" s="89" t="n">
        <x:v>2019</x:v>
      </x:c>
      <x:c r="F93" s="88" t="str">
        <x:v>Scientia Horticulturae</x:v>
      </x:c>
      <x:c r="G93" s="88" t="str">
        <x:v>Elsevier BV</x:v>
      </x:c>
      <x:c r="H93" s="88" t="str">
        <x:v>journal-article</x:v>
      </x:c>
      <x:c r="I93" s="86" t="str">
        <x:v>10.1016/j.scienta.2018.10.037</x:v>
      </x:c>
      <x:c r="J93" s="86" t="str">
        <x:v>https://doi.org/10.1016/j.scienta.2018.10.037</x:v>
      </x:c>
      <x:c r="K93" s="88" t="str">
        <x:v>Abstract A study was conducted to analyse the physiological response of red pepper (Capsicum annuum L.) to different irrigation regimes by means of periodical measurements of leaf water potential (LWP) and stomatal resistance (rs) and crop water stress index (CWSI) at midday during 2010 and 2011 seasons in the Mediterranean region of Turkey. The treatments consisted of full irrigation (FI), deficit irrigation (DI-75, DI-50), partial root zone drying (PRD-A, PRD-F, A: alternative, F: fixed). The greatest yield was obtained from the FI treatment followed by DI-75, PRD-A, DI-50 and PRD-F treatments resulted in the smallest yield. The FI irrigation treatment had less stomatal resistance (17.4 s cm−1 in 2010 and 16.4 s cm−1 in 2011) and CWSI (0.25 in 2010 and 0.27 in 2011) in comparison with deficit irrigation treatments. Red pepper performed best at FI with a corresponding leaf water potential of -0.65 to -0.53 MPa for experimental years. There were large differences among treatments in LWP, CWSI and rs, indicating that crop responded differently to different soil water levels. Significant relationship between stomatal resistance, water use and yield were obtained. The results also revealed significant dependency among CWSI, rs and LWP were found.</x:v>
      </x:c>
      <x:c r="L93" s="88" t="str">
        <x:v>Available</x:v>
      </x:c>
      <x:c r="M93" s="88" t="str">
        <x:v>Semantic Scholar</x:v>
      </x:c>
      <x:c r="N93" s="88" t="str">
        <x:v>Irrigation Practices and Water Management; Greenhouse Technology and Climate Control; Plant Physiology and Cultivation Studies; Environmental Science</x:v>
      </x:c>
      <x:c r="O93" s="90" t="n">
        <x:v>45</x:v>
      </x:c>
      <x:c r="P93" s="90" t="n">
        <x:v>83</x:v>
      </x:c>
      <x:c r="Q93" s="86" t="str">
        <x:v>closed</x:v>
      </x:c>
      <x:c r="R93" s="87" t="b">
        <x:v>0</x:v>
      </x:c>
      <x:c r="S93" s="88" t="str">
        <x:v>https://www.elsevier.com/tdm/userlicense/1.0/; https://www.elsevier.com/legal/tdmrep-license; http://www.elsevier.com/open-access/userlicense/1.0/</x:v>
      </x:c>
      <x:c r="T93" s="88" t="str">
        <x:v>Publication matched, but no lawful direct open-access PDF was found</x:v>
      </x:c>
      <x:c r="U93" s="88" t="str">
        <x:v>matched_no_oa_pdf</x:v>
      </x:c>
      <x:c r="V93" s="88" t="str">
        <x:v>High</x:v>
      </x:c>
      <x:c r="W93" s="88" t="str">
        <x:v>DOI resolved in Crossref</x:v>
      </x:c>
      <x:c r="X93" s="88" t="str">
        <x:v>https://doi.org/10.1016/j.scienta.2018.10.037</x:v>
      </x:c>
      <x:c r="Y93" s="88" t="str">
        <x:v>https://openalex.org/W2898580245</x:v>
      </x:c>
      <x:c r="Z93" s="88" t="str">
        <x:v>https://www.semanticscholar.org/paper/f44f9ab9480090b60cda3b35ee6ad9f5917cef24</x:v>
      </x:c>
      <x:c r="AA93" s="88" t="str">
        <x:v>Physiological response of red pepper to different irrigation regimes under drip irrigation in the Mediterranean region of Turkey</x:v>
      </x:c>
      <x:c r="AB93" s="88" t="str">
        <x:v>10.1016/j.scienta.2018.10.037</x:v>
      </x:c>
      <x:c r="AC93" s="88" t="str">
        <x:v>article</x:v>
      </x:c>
      <x:c r="AD93" s="88" t="str"/>
    </x:row>
    <x:row r="94" ht="48" customHeight="1">
      <x:c r="A94" s="89" t="n">
        <x:v>93</x:v>
      </x:c>
      <x:c r="B94" s="86" t="str">
        <x:v>irrigation2022smart</x:v>
      </x:c>
      <x:c r="C94" s="88" t="str">
        <x:v>An IoT based smart irrigation management system using Machine learning and open source technologies</x:v>
      </x:c>
      <x:c r="D94" s="88" t="str">
        <x:v>Amarendra Goap; Deepak Sharma; A.K. Shukla; C. Rama Krishna</x:v>
      </x:c>
      <x:c r="E94" s="89" t="n">
        <x:v>2018</x:v>
      </x:c>
      <x:c r="F94" s="88" t="str">
        <x:v>Computers and Electronics in Agriculture</x:v>
      </x:c>
      <x:c r="G94" s="88" t="str">
        <x:v>Elsevier BV</x:v>
      </x:c>
      <x:c r="H94" s="88" t="str">
        <x:v>journal-article</x:v>
      </x:c>
      <x:c r="I94" s="86" t="str">
        <x:v>10.1016/j.compag.2018.09.040</x:v>
      </x:c>
      <x:c r="J94" s="86" t="str">
        <x:v>https://doi.org/10.1016/j.compag.2018.09.040</x:v>
      </x:c>
      <x:c r="K94"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L94" s="88" t="str">
        <x:v>Available</x:v>
      </x:c>
      <x:c r="M94" s="88" t="str">
        <x:v>Semantic Scholar</x:v>
      </x:c>
      <x:c r="N94" s="88" t="str">
        <x:v>Smart Agriculture and AI; Water Quality Monitoring Technologies; Internet of Things and AI; Computer Science</x:v>
      </x:c>
      <x:c r="O94" s="90" t="n">
        <x:v>574</x:v>
      </x:c>
      <x:c r="P94" s="90" t="n">
        <x:v>31</x:v>
      </x:c>
      <x:c r="Q94" s="86" t="str">
        <x:v>closed</x:v>
      </x:c>
      <x:c r="R94" s="87" t="b">
        <x:v>0</x:v>
      </x:c>
      <x:c r="S94" s="88" t="str">
        <x:v>https://www.elsevier.com/tdm/userlicense/1.0/</x:v>
      </x:c>
      <x:c r="T94" s="88" t="str">
        <x:v>Publication matched, but no lawful direct open-access PDF was found</x:v>
      </x:c>
      <x:c r="U94" s="88" t="str">
        <x:v>matched_no_oa_pdf</x:v>
      </x:c>
      <x:c r="V94" s="88" t="str">
        <x:v>High</x:v>
      </x:c>
      <x:c r="W94" s="88" t="str">
        <x:v>DOI resolved in Crossref</x:v>
      </x:c>
      <x:c r="X94" s="88" t="str">
        <x:v>https://doi.org/10.1016/j.compag.2018.09.040</x:v>
      </x:c>
      <x:c r="Y94" s="88" t="str">
        <x:v>https://openalex.org/W2896625020</x:v>
      </x:c>
      <x:c r="Z94" s="88" t="str">
        <x:v>https://www.semanticscholar.org/paper/dc367cca9a8c687edb8aa09b7ac3fafc802d0d38</x:v>
      </x:c>
      <x:c r="AA94" s="88" t="str">
        <x:v>An IoT based smart irrigation management system using Machine learning and open source technologies</x:v>
      </x:c>
      <x:c r="AB94" s="88" t="str">
        <x:v>10.1016/j.compag.2018.09.040</x:v>
      </x:c>
      <x:c r="AC94" s="88" t="str">
        <x:v>article</x:v>
      </x:c>
      <x:c r="AD94" s="88" t="str"/>
    </x:row>
    <x:row r="95" ht="48" customHeight="1">
      <x:c r="A95" s="89" t="n">
        <x:v>94</x:v>
      </x:c>
      <x:c r="B95" s="86" t="str">
        <x:v>pepper2021moisturecontrol</x:v>
      </x:c>
      <x:c r="C95" s="88" t="str">
        <x:v>Remote sensing to estimate ET-fluxes and the performance of an irrigation district in southern Italy</x:v>
      </x:c>
      <x:c r="D95" s="88" t="str">
        <x:v>Simona Consoli; Guido D’Urso; Attilio Toscano</x:v>
      </x:c>
      <x:c r="E95" s="89" t="n">
        <x:v>2006</x:v>
      </x:c>
      <x:c r="F95" s="88" t="str">
        <x:v>Agricultural Water Management</x:v>
      </x:c>
      <x:c r="G95" s="88" t="str">
        <x:v>Elsevier BV</x:v>
      </x:c>
      <x:c r="H95" s="88" t="str">
        <x:v>journal-article</x:v>
      </x:c>
      <x:c r="I95" s="86" t="str">
        <x:v>10.1016/j.agwat.2005.04.008</x:v>
      </x:c>
      <x:c r="J95" s="86" t="str">
        <x:v>https://doi.org/10.1016/j.agwat.2005.04.008</x:v>
      </x:c>
      <x:c r="K95" s="88" t="str"/>
      <x:c r="L95" s="88" t="str">
        <x:v>Not found in Crossref/OpenAlex/Semantic Scholar</x:v>
      </x:c>
      <x:c r="M95" s="88" t="str"/>
      <x:c r="N95" s="88" t="str">
        <x:v>Plant Water Relations and Carbon Dynamics; Remote Sensing in Agriculture; Remote Sensing and LiDAR Applications; Environmental Science</x:v>
      </x:c>
      <x:c r="O95" s="90" t="n">
        <x:v>32</x:v>
      </x:c>
      <x:c r="P95" s="90" t="n">
        <x:v>45</x:v>
      </x:c>
      <x:c r="Q95" s="86" t="str">
        <x:v>closed</x:v>
      </x:c>
      <x:c r="R95" s="87" t="b">
        <x:v>0</x:v>
      </x:c>
      <x:c r="S95" s="88" t="str">
        <x:v>https://www.elsevier.com/tdm/userlicense/1.0/; https://www.elsevier.com/legal/tdmrep-license</x:v>
      </x:c>
      <x:c r="T95" s="88" t="str">
        <x:v>Publication matched, but no lawful direct open-access PDF was found</x:v>
      </x:c>
      <x:c r="U95" s="88" t="str">
        <x:v>matched_no_oa_pdf</x:v>
      </x:c>
      <x:c r="V95" s="88" t="str">
        <x:v>High</x:v>
      </x:c>
      <x:c r="W95" s="88" t="str">
        <x:v>DOI resolved in Crossref</x:v>
      </x:c>
      <x:c r="X95" s="88" t="str">
        <x:v>https://doi.org/10.1016/j.agwat.2005.04.008</x:v>
      </x:c>
      <x:c r="Y95" s="88" t="str">
        <x:v>https://openalex.org/W2057742755</x:v>
      </x:c>
      <x:c r="Z95" s="88" t="str">
        <x:v>https://www.semanticscholar.org/paper/2642ebadd406dd71b1eec73e23876493990e24ca</x:v>
      </x:c>
      <x:c r="AA95" s="88" t="str">
        <x:v>Effect of drip and sprinkler irrigation on yield and quality of field grown bell pepper</x:v>
      </x:c>
      <x:c r="AB95" s="88" t="str">
        <x:v>10.1016/j.agwat.2005.04.008</x:v>
      </x:c>
      <x:c r="AC95" s="88" t="str">
        <x:v>article</x:v>
      </x:c>
      <x:c r="AD95" s="88" t="str"/>
    </x:row>
    <x:row r="96" ht="48" customHeight="1">
      <x:c r="A96" s="89" t="n">
        <x:v>95</x:v>
      </x:c>
      <x:c r="B96" s="86" t="str">
        <x:v>capsicumspacing2017study</x:v>
      </x:c>
      <x:c r="C96" s="88" t="str">
        <x:v>Drip-irrigated pepper production in Florida</x:v>
      </x:c>
      <x:c r="D96" s="88" t="str">
        <x:v>Simonne, Eric and Studstill, David W. and Hochmuth, Robert C. and Olczyk, Tom and Webb, Sidney E.</x:v>
      </x:c>
      <x:c r="E96" s="89" t="n">
        <x:v>2006</x:v>
      </x:c>
      <x:c r="F96" s="88" t="str">
        <x:v>HortTechnology</x:v>
      </x:c>
      <x:c r="G96" s="88" t="str"/>
      <x:c r="H96" s="88" t="str">
        <x:v>article</x:v>
      </x:c>
      <x:c r="I96" s="86" t="str">
        <x:v>10.21273/horttech.16.2.0283</x:v>
      </x:c>
      <x:c r="J96" s="86" t="str">
        <x:v>https://doi.org/10.21273/horttech.16.2.0283</x:v>
      </x:c>
      <x:c r="K96" s="88" t="str"/>
      <x:c r="L96" s="88" t="str">
        <x:v>Not found in Crossref/OpenAlex/Semantic Scholar</x:v>
      </x:c>
      <x:c r="M96" s="88" t="str"/>
      <x:c r="N96" s="88" t="str"/>
      <x:c r="O96" s="90"/>
      <x:c r="P96" s="90"/>
      <x:c r="Q96" s="86" t="str">
        <x:v>unknown</x:v>
      </x:c>
      <x:c r="R96" s="86"/>
      <x:c r="S96" s="88" t="str"/>
      <x:c r="T96" s="88" t="str">
        <x:v>Bibliographic record could not be reliably resolved</x:v>
      </x:c>
      <x:c r="U96" s="88" t="str">
        <x:v>unresolved</x:v>
      </x:c>
      <x:c r="V96" s="88" t="str">
        <x:v>Unverified</x:v>
      </x:c>
      <x:c r="W96" s="88" t="str">
        <x:v>No reliable external match</x:v>
      </x:c>
      <x:c r="X96" s="88" t="str"/>
      <x:c r="Y96" s="88" t="str"/>
      <x:c r="Z96" s="88" t="str"/>
      <x:c r="AA96" s="88" t="str">
        <x:v>Drip-irrigated pepper production in Florida</x:v>
      </x:c>
      <x:c r="AB96" s="88" t="str">
        <x:v>10.21273/horttech.16.2.0283</x:v>
      </x:c>
      <x:c r="AC96" s="88" t="str">
        <x:v>article</x:v>
      </x:c>
      <x:c r="AD96" s="88" t="str"/>
    </x:row>
    <x:row r="97" ht="48" customHeight="1">
      <x:c r="A97" s="89" t="n">
        <x:v>96</x:v>
      </x:c>
      <x:c r="B97" s="86" t="str">
        <x:v>precision2020yield</x:v>
      </x:c>
      <x:c r="C97" s="88" t="str">
        <x:v>Effects of soil water deficit on yield and quality of processing tomato under a Mediterranean climate</x:v>
      </x:c>
      <x:c r="D97" s="88" t="str">
        <x:v>C. Patanè; S.L. Cosentino</x:v>
      </x:c>
      <x:c r="E97" s="89" t="n">
        <x:v>2010</x:v>
      </x:c>
      <x:c r="F97" s="88" t="str">
        <x:v>Agricultural Water Management</x:v>
      </x:c>
      <x:c r="G97" s="88" t="str">
        <x:v>Elsevier BV</x:v>
      </x:c>
      <x:c r="H97" s="88" t="str">
        <x:v>journal-article</x:v>
      </x:c>
      <x:c r="I97" s="86" t="str">
        <x:v>10.1016/j.agwat.2009.08.021</x:v>
      </x:c>
      <x:c r="J97" s="86" t="str">
        <x:v>https://doi.org/10.1016/j.agwat.2009.08.021</x:v>
      </x:c>
      <x:c r="K97" s="88" t="str"/>
      <x:c r="L97" s="88" t="str">
        <x:v>Not found in Crossref/OpenAlex/Semantic Scholar</x:v>
      </x:c>
      <x:c r="M97" s="88" t="str"/>
      <x:c r="N97" s="88" t="str">
        <x:v>Irrigation Practices and Water Management; Plant Water Relations and Carbon Dynamics; Greenhouse Technology and Climate Control; Environmental Science</x:v>
      </x:c>
      <x:c r="O97" s="90" t="n">
        <x:v>227</x:v>
      </x:c>
      <x:c r="P97" s="90" t="n">
        <x:v>36</x:v>
      </x:c>
      <x:c r="Q97" s="86" t="str">
        <x:v>closed</x:v>
      </x:c>
      <x:c r="R97" s="87" t="b">
        <x:v>0</x:v>
      </x:c>
      <x:c r="S97" s="88" t="str">
        <x:v>https://www.elsevier.com/tdm/userlicense/1.0/; https://www.elsevier.com/legal/tdmrep-license</x:v>
      </x:c>
      <x:c r="T97" s="88" t="str">
        <x:v>Publication matched, but no lawful direct open-access PDF was found</x:v>
      </x:c>
      <x:c r="U97" s="88" t="str">
        <x:v>matched_no_oa_pdf</x:v>
      </x:c>
      <x:c r="V97" s="88" t="str">
        <x:v>High</x:v>
      </x:c>
      <x:c r="W97" s="88" t="str">
        <x:v>DOI resolved in Crossref</x:v>
      </x:c>
      <x:c r="X97" s="88" t="str">
        <x:v>https://doi.org/10.1016/j.agwat.2009.08.021</x:v>
      </x:c>
      <x:c r="Y97" s="88" t="str">
        <x:v>https://openalex.org/W2122769743</x:v>
      </x:c>
      <x:c r="Z97" s="88" t="str">
        <x:v>https://www.semanticscholar.org/paper/7ca08f47cbf463002a6235a254ad917fc83360a1</x:v>
      </x:c>
      <x:c r="AA97" s="88" t="str">
        <x:v>Effects of soil water deficit on yield and quality of processing tomato under a Mediterranean climate</x:v>
      </x:c>
      <x:c r="AB97" s="88" t="str">
        <x:v>10.1016/j.agwat.2009.08.021</x:v>
      </x:c>
      <x:c r="AC97" s="88" t="str">
        <x:v>article</x:v>
      </x:c>
      <x:c r="AD97" s="88" t="str"/>
    </x:row>
    <x:row r="98" ht="48" customHeight="1">
      <x:c r="A98" s="89" t="n">
        <x:v>97</x:v>
      </x:c>
      <x:c r="B98" s="86" t="str">
        <x:v>iotreview2021productivity</x:v>
      </x:c>
      <x:c r="C98" s="88" t="str">
        <x:v>A comprehensive review of IoT and wireless sensor networks in precision agriculture</x:v>
      </x:c>
      <x:c r="D98" s="88" t="str">
        <x:v>Aydin, Gokhan and Hall, Michael J.</x:v>
      </x:c>
      <x:c r="E98" s="89" t="n">
        <x:v>2021</x:v>
      </x:c>
      <x:c r="F98" s="88" t="str">
        <x:v>IEEE Access</x:v>
      </x:c>
      <x:c r="G98" s="88" t="str"/>
      <x:c r="H98" s="88" t="str">
        <x:v>article</x:v>
      </x:c>
      <x:c r="I98" s="86" t="str">
        <x:v>10.1109/access.2021.3129552</x:v>
      </x:c>
      <x:c r="J98" s="86" t="str">
        <x:v>https://doi.org/10.1109/access.2021.3129552</x:v>
      </x:c>
      <x:c r="K98" s="88" t="str"/>
      <x:c r="L98" s="88" t="str">
        <x:v>Not found in Crossref/OpenAlex/Semantic Scholar</x:v>
      </x:c>
      <x:c r="M98" s="88" t="str"/>
      <x:c r="N98" s="88" t="str"/>
      <x:c r="O98" s="90"/>
      <x:c r="P98" s="90"/>
      <x:c r="Q98" s="86" t="str">
        <x:v>unknown</x:v>
      </x:c>
      <x:c r="R98" s="86"/>
      <x:c r="S98" s="88" t="str"/>
      <x:c r="T98" s="88" t="str">
        <x:v>Bibliographic record could not be reliably resolved</x:v>
      </x:c>
      <x:c r="U98" s="88" t="str">
        <x:v>unresolved</x:v>
      </x:c>
      <x:c r="V98" s="88" t="str">
        <x:v>Unverified</x:v>
      </x:c>
      <x:c r="W98" s="88" t="str">
        <x:v>No reliable external match</x:v>
      </x:c>
      <x:c r="X98" s="88" t="str"/>
      <x:c r="Y98" s="88" t="str"/>
      <x:c r="Z98" s="88" t="str"/>
      <x:c r="AA98" s="88" t="str">
        <x:v>A comprehensive review of IoT and wireless sensor networks in precision agriculture</x:v>
      </x:c>
      <x:c r="AB98" s="88" t="str">
        <x:v>10.1109/access.2021.3129552</x:v>
      </x:c>
      <x:c r="AC98" s="88" t="str">
        <x:v>article</x:v>
      </x:c>
      <x:c r="AD98" s="88" t="str"/>
    </x:row>
    <x:row r="99" ht="48" customHeight="1">
      <x:c r="A99" s="89" t="n">
        <x:v>98</x:v>
      </x:c>
      <x:c r="B99" s="86" t="str">
        <x:v>pepperquality2019irrigation</x:v>
      </x:c>
      <x:c r="C99" s="88" t="str">
        <x:v>Yield response and N-fertiliser recovery of tomato grown under deficit irrigation</x:v>
      </x:c>
      <x:c r="D99" s="88" t="str">
        <x:v>S. Topcu; C. Kirda; Y. Dasgan; H. Kaman; M. Cetin; A. Yazici; M.A. Bacon</x:v>
      </x:c>
      <x:c r="E99" s="89" t="n">
        <x:v>2007</x:v>
      </x:c>
      <x:c r="F99" s="88" t="str">
        <x:v>European Journal of Agronomy</x:v>
      </x:c>
      <x:c r="G99" s="88" t="str">
        <x:v>Elsevier BV</x:v>
      </x:c>
      <x:c r="H99" s="88" t="str">
        <x:v>journal-article</x:v>
      </x:c>
      <x:c r="I99" s="86" t="str">
        <x:v>10.1016/j.eja.2006.08.004</x:v>
      </x:c>
      <x:c r="J99" s="86" t="str">
        <x:v>https://doi.org/10.1016/j.eja.2006.08.004</x:v>
      </x:c>
      <x:c r="K99" s="88" t="str"/>
      <x:c r="L99" s="88" t="str">
        <x:v>Not found in Crossref/OpenAlex/Semantic Scholar</x:v>
      </x:c>
      <x:c r="M99" s="88" t="str"/>
      <x:c r="N99" s="88" t="str">
        <x:v>Irrigation Practices and Water Management; Plant Water Relations and Carbon Dynamics; Greenhouse Technology and Climate Control; Chemistry</x:v>
      </x:c>
      <x:c r="O99" s="90" t="n">
        <x:v>134</x:v>
      </x:c>
      <x:c r="P99" s="90" t="n">
        <x:v>37</x:v>
      </x:c>
      <x:c r="Q99" s="86" t="str">
        <x:v>closed</x:v>
      </x:c>
      <x:c r="R99" s="87" t="b">
        <x:v>0</x:v>
      </x:c>
      <x:c r="S99" s="88" t="str">
        <x:v>https://www.elsevier.com/tdm/userlicense/1.0/</x:v>
      </x:c>
      <x:c r="T99" s="88" t="str">
        <x:v>Publication matched, but no lawful direct open-access PDF was found</x:v>
      </x:c>
      <x:c r="U99" s="88" t="str">
        <x:v>matched_no_oa_pdf</x:v>
      </x:c>
      <x:c r="V99" s="88" t="str">
        <x:v>High</x:v>
      </x:c>
      <x:c r="W99" s="88" t="str">
        <x:v>DOI resolved in Crossref</x:v>
      </x:c>
      <x:c r="X99" s="88" t="str">
        <x:v>https://doi.org/10.1016/j.eja.2006.08.004</x:v>
      </x:c>
      <x:c r="Y99" s="88" t="str">
        <x:v>https://openalex.org/W2054142450</x:v>
      </x:c>
      <x:c r="Z99" s="88" t="str">
        <x:v>https://www.semanticscholar.org/paper/316d0bae6b750ad401e439bd40939e03731004e5</x:v>
      </x:c>
      <x:c r="AA99" s="88" t="str">
        <x:v>Yield response and N-fertiliser recovery of tomato grown under deficit irrigation</x:v>
      </x:c>
      <x:c r="AB99" s="88" t="str">
        <x:v>10.1016/j.eja.2006.08.004</x:v>
      </x:c>
      <x:c r="AC99" s="88" t="str">
        <x:v>article</x:v>
      </x:c>
      <x:c r="AD99" s="88" t="str"/>
    </x:row>
    <x:row r="100" ht="48" customHeight="1">
      <x:c r="A100" s="89" t="n">
        <x:v>99</x:v>
      </x:c>
      <x:c r="B100" s="86" t="str">
        <x:v>crtcompression2018</x:v>
      </x:c>
      <x:c r="C100" s="88" t="str">
        <x:v>Evaluation and Performance Analysis of Chinese Remainder Theorem and Its Application to Lossless Image Compression</x:v>
      </x:c>
      <x:c r="D100" s="88" t="str">
        <x:v>Vidhya, P. and Brindha, R.</x:v>
      </x:c>
      <x:c r="E100" s="89" t="n">
        <x:v>2021</x:v>
      </x:c>
      <x:c r="F100" s="88" t="str">
        <x:v>International Journal of Computer Applications</x:v>
      </x:c>
      <x:c r="G100" s="88" t="str"/>
      <x:c r="H100" s="88" t="str">
        <x:v>article</x:v>
      </x:c>
      <x:c r="I100" s="86" t="str">
        <x:v>10.5120/ijca2021921556</x:v>
      </x:c>
      <x:c r="J100" s="86" t="str">
        <x:v>https://doi.org/10.5120/ijca2021921556</x:v>
      </x:c>
      <x:c r="K100" s="88" t="str"/>
      <x:c r="L100" s="88" t="str">
        <x:v>Not found in Crossref/OpenAlex/Semantic Scholar</x:v>
      </x:c>
      <x:c r="M100" s="88" t="str"/>
      <x:c r="N100" s="88" t="str"/>
      <x:c r="O100" s="90"/>
      <x:c r="P100" s="90"/>
      <x:c r="Q100" s="86" t="str">
        <x:v>closed</x:v>
      </x:c>
      <x:c r="R100" s="86"/>
      <x:c r="S100" s="88" t="str"/>
      <x:c r="T100" s="88" t="str">
        <x:v>Publication matched, but no lawful direct open-access PDF was found</x:v>
      </x:c>
      <x:c r="U100" s="88" t="str">
        <x:v>matched_no_oa_pdf</x:v>
      </x:c>
      <x:c r="V100" s="88" t="str">
        <x:v>Unverified</x:v>
      </x:c>
      <x:c r="W100" s="88" t="str">
        <x:v>No reliable external match</x:v>
      </x:c>
      <x:c r="X100" s="88" t="str"/>
      <x:c r="Y100" s="88" t="str"/>
      <x:c r="Z100" s="88" t="str"/>
      <x:c r="AA100" s="88" t="str">
        <x:v>Evaluation and Performance Analysis of Chinese Remainder Theorem and Its Application to Lossless Image Compression</x:v>
      </x:c>
      <x:c r="AB100" s="88" t="str">
        <x:v>10.5120/ijca2021921556</x:v>
      </x:c>
      <x:c r="AC100" s="88" t="str">
        <x:v>article</x:v>
      </x:c>
      <x:c r="AD100" s="88" t="str"/>
    </x:row>
    <x:row r="101" ht="48" customHeight="1">
      <x:c r="A101" s="89" t="n">
        <x:v>100</x:v>
      </x:c>
      <x:c r="B101" s="86" t="str">
        <x:v>fabric2019performance</x:v>
      </x:c>
      <x:c r="C101" s="88" t="str">
        <x:v>Hyperledger fabric</x:v>
      </x:c>
      <x:c r="D101" s="88" t="str">
        <x:v>Elli Androulaki; Artem Barger; Vita Bortnikov; Christian Cachin; Konstantinos Christidis; Angelo De Caro; David Enyeart; Christopher Ferris; Gennady Laventman; Yacov Manevich; Srinivasan Muralidharan; Chet Murthy; Binh Nguyen; Manish Sethi; Gari Singh; Keith Smith; Alessandro Sorniotti; Chrysoula Stathakopoulou; Marko Vukolić; Sharon Weed Cocco; Jason Yellick</x:v>
      </x:c>
      <x:c r="E101" s="89" t="n">
        <x:v>2018</x:v>
      </x:c>
      <x:c r="F101" s="88" t="str">
        <x:v>Proceedings of the Thirteenth EuroSys Conference</x:v>
      </x:c>
      <x:c r="G101" s="88" t="str">
        <x:v>ACM</x:v>
      </x:c>
      <x:c r="H101" s="88" t="str">
        <x:v>proceedings-article</x:v>
      </x:c>
      <x:c r="I101" s="86" t="str">
        <x:v>10.1145/3190508.3190538</x:v>
      </x:c>
      <x:c r="J101" s="86" t="str">
        <x:v>https://doi.org/10.1145/3190508.3190538</x:v>
      </x:c>
      <x:c r="K101" s="88" t="str">
        <x:v>Fabric is a modular and extensible open-source system for deploying and operating permissioned blockchains and one of the Hyperledger projects hosted by the Linux Foundation (www.hyperledger.org).</x:v>
      </x:c>
      <x:c r="L101" s="88" t="str">
        <x:v>Available</x:v>
      </x:c>
      <x:c r="M101" s="88" t="str">
        <x:v>OpenAlex</x:v>
      </x:c>
      <x:c r="N101" s="88" t="str">
        <x:v>Blockchain Technology Applications and Security; Distributed systems and fault tolerance; Security and Verification in Computing; Computer Science</x:v>
      </x:c>
      <x:c r="O101" s="90" t="n">
        <x:v>3400</x:v>
      </x:c>
      <x:c r="P101" s="90" t="n">
        <x:v>58</x:v>
      </x:c>
      <x:c r="Q101" s="86" t="str">
        <x:v>gold</x:v>
      </x:c>
      <x:c r="R101" s="87" t="b">
        <x:v>1</x:v>
      </x:c>
      <x:c r="S101" s="88" t="str">
        <x:v>https://www.acm.org/publications/policies/copyright_policy#Background</x:v>
      </x:c>
      <x:c r="T101" s="88" t="str">
        <x:v>Publication matched; an OA landing page or metadata record was found, but no downloadable PDF was retrieved</x:v>
      </x:c>
      <x:c r="U101" s="88" t="str">
        <x:v>matched</x:v>
      </x:c>
      <x:c r="V101" s="88" t="str">
        <x:v>High</x:v>
      </x:c>
      <x:c r="W101" s="88" t="str">
        <x:v>DOI resolved in Crossref</x:v>
      </x:c>
      <x:c r="X101" s="88" t="str">
        <x:v>https://doi.org/10.1145/3190508.3190538</x:v>
      </x:c>
      <x:c r="Y101" s="88" t="str">
        <x:v>https://openalex.org/W4300127641</x:v>
      </x:c>
      <x:c r="Z101" s="88" t="str">
        <x:v>https://www.semanticscholar.org/paper/1b4c39ba447e8098291e47fd5da32ca650f41181</x:v>
      </x:c>
      <x:c r="AA101" s="88" t="str">
        <x:v>Hyperledger Fabric: A Distributed Operating System for Permissioned Blockchains</x:v>
      </x:c>
      <x:c r="AB101" s="88" t="str">
        <x:v>10.1145/3190508.3190538</x:v>
      </x:c>
      <x:c r="AC101" s="88" t="str">
        <x:v>inproceedings</x:v>
      </x:c>
      <x:c r="AD101" s="88" t="str">
        <x:v>OA location did not return a PDF</x:v>
      </x:c>
    </x:row>
    <x:row r="102" ht="48" customHeight="1">
      <x:c r="A102" s="89" t="n">
        <x:v>101</x:v>
      </x:c>
      <x:c r="B102" s="86" t="str">
        <x:v>tian2017agri</x:v>
      </x:c>
      <x:c r="C102" s="88" t="str">
        <x:v>A supply chain traceability system for food safety based on HACCP, blockchain &amp;amp; Internet of things</x:v>
      </x:c>
      <x:c r="D102" s="88" t="str">
        <x:v>Feng Tian</x:v>
      </x:c>
      <x:c r="E102" s="89" t="n">
        <x:v>2017</x:v>
      </x:c>
      <x:c r="F102" s="88" t="str">
        <x:v>2017 International Conference on Service Systems and Service Management</x:v>
      </x:c>
      <x:c r="G102" s="88" t="str">
        <x:v>IEEE</x:v>
      </x:c>
      <x:c r="H102" s="88" t="str">
        <x:v>proceedings-article</x:v>
      </x:c>
      <x:c r="I102" s="86" t="str">
        <x:v>10.1109/icsssm.2017.7996119</x:v>
      </x:c>
      <x:c r="J102" s="86" t="str">
        <x:v>https://doi.org/10.1109/icsssm.2017.7996119</x:v>
      </x:c>
      <x:c r="K102"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L102" s="88" t="str">
        <x:v>Available</x:v>
      </x:c>
      <x:c r="M102" s="88" t="str">
        <x:v>OpenAlex</x:v>
      </x:c>
      <x:c r="N102" s="88" t="str">
        <x:v>Food Supply Chain Traceability; Food Waste Reduction and Sustainability; Food Safety and Hygiene; Computer Science</x:v>
      </x:c>
      <x:c r="O102" s="90" t="n">
        <x:v>277</x:v>
      </x:c>
      <x:c r="P102" s="90" t="n">
        <x:v>20</x:v>
      </x:c>
      <x:c r="Q102" s="86" t="str">
        <x:v>closed</x:v>
      </x:c>
      <x:c r="R102" s="87" t="b">
        <x:v>0</x:v>
      </x:c>
      <x:c r="S102" s="88" t="str"/>
      <x:c r="T102" s="88" t="str">
        <x:v>Bibliographic record could not be reliably resolved</x:v>
      </x:c>
      <x:c r="U102" s="88" t="str">
        <x:v>unresolved</x:v>
      </x:c>
      <x:c r="V102" s="88" t="str">
        <x:v>High</x:v>
      </x:c>
      <x:c r="W102" s="88" t="str">
        <x:v>Crossref title match 100%</x:v>
      </x:c>
      <x:c r="X102" s="88" t="str">
        <x:v>https://doi.org/10.1109/icsssm.2017.7996119</x:v>
      </x:c>
      <x:c r="Y102" s="88" t="str">
        <x:v>https://openalex.org/W2740090788</x:v>
      </x:c>
      <x:c r="Z102" s="88" t="str">
        <x:v>https://www.semanticscholar.org/paper/304083f2a7b00d07d7c33883e2e74ac0fd8245c5</x:v>
      </x:c>
      <x:c r="AA102" s="88" t="str">
        <x:v>A supply chain traceability system for food safety based on HACCP, blockchain \&amp; Internet of Things</x:v>
      </x:c>
      <x:c r="AB102" s="88" t="str"/>
      <x:c r="AC102" s="88" t="str">
        <x:v>article</x:v>
      </x:c>
      <x:c r="AD102" s="88" t="str"/>
    </x:row>
    <x:row r="103" ht="48" customHeight="1">
      <x:c r="A103" s="89" t="n">
        <x:v>102</x:v>
      </x:c>
      <x:c r="B103" s="86" t="str">
        <x:v>yuan2018cryptographic</x:v>
      </x:c>
      <x:c r="C103" s="88" t="str">
        <x:v>On blockchain and its integration with IoT. Challenges and opportunities</x:v>
      </x:c>
      <x:c r="D103" s="88" t="str">
        <x:v>Ana Reyna; Cristian Martín; Jaime Chen; Enrique Soler; Manuel Díaz</x:v>
      </x:c>
      <x:c r="E103" s="89" t="n">
        <x:v>2018</x:v>
      </x:c>
      <x:c r="F103" s="88" t="str">
        <x:v>Future Generation Computer Systems</x:v>
      </x:c>
      <x:c r="G103" s="88" t="str">
        <x:v>Elsevier BV</x:v>
      </x:c>
      <x:c r="H103" s="88" t="str">
        <x:v>journal-article</x:v>
      </x:c>
      <x:c r="I103" s="86" t="str">
        <x:v>10.1016/j.future.2018.05.046</x:v>
      </x:c>
      <x:c r="J103" s="86" t="str">
        <x:v>https://doi.org/10.1016/j.future.2018.05.046</x:v>
      </x:c>
      <x:c r="K103" s="88" t="str">
        <x:v>In the Internet of Things (IoT) vision, conventional devices become smart and autonomous. This vision is turning into a reality thanks to advances in technology, but there are still challenges to address, particularly in the security domain e.g., data reliability. Taking into account the predicted evolution of the IoT in the coming years, it is necessary to provide confidence in this huge incoming information source. Blockchain has emerged as a key technology that will transform the way in which we share information. Building trust in distributed environments without the need for authorities is a technological advance that has the potential to change many industries, the IoT among them. Disruptive technologies such as big data and cloud computing have been leveraged by IoT to overcome its limitations since its conception, and we think blockchain will be one of the next ones. This paper focuses on this relationship, investigates challenges in blockchain IoT applications, and surveys the most relevant work in order to analyze how blockchain could potentially improve the IoT.</x:v>
      </x:c>
      <x:c r="L103" s="88" t="str">
        <x:v>Available</x:v>
      </x:c>
      <x:c r="M103" s="88" t="str">
        <x:v>OpenAlex</x:v>
      </x:c>
      <x:c r="N103" s="88" t="str">
        <x:v>Blockchain Technology Applications and Security; IoT and Edge/Fog Computing; Caching and Content Delivery; Computer Science</x:v>
      </x:c>
      <x:c r="O103" s="90" t="n">
        <x:v>1624</x:v>
      </x:c>
      <x:c r="P103" s="90" t="n">
        <x:v>148</x:v>
      </x:c>
      <x:c r="Q103" s="86" t="str">
        <x:v>hybrid</x:v>
      </x:c>
      <x:c r="R103" s="87" t="b">
        <x:v>1</x:v>
      </x:c>
      <x:c r="S103" s="88" t="str">
        <x:v>https://www.elsevier.com/tdm/userlicense/1.0/; https://www.elsevier.com/legal/tdmrep-license; http://creativecommons.org/licenses/by/4.0/</x:v>
      </x:c>
      <x:c r="T103" s="88" t="str">
        <x:v>Publication matched; an OA landing page or metadata record was found, but no downloadable PDF was retrieved</x:v>
      </x:c>
      <x:c r="U103" s="88" t="str">
        <x:v>matched</x:v>
      </x:c>
      <x:c r="V103" s="88" t="str">
        <x:v>High</x:v>
      </x:c>
      <x:c r="W103" s="88" t="str">
        <x:v>DOI resolved in Crossref</x:v>
      </x:c>
      <x:c r="X103" s="88" t="str">
        <x:v>https://doi.org/10.1016/j.future.2018.05.046</x:v>
      </x:c>
      <x:c r="Y103" s="88" t="str">
        <x:v>https://openalex.org/W2803371618</x:v>
      </x:c>
      <x:c r="Z103" s="88" t="str">
        <x:v>https://www.semanticscholar.org/paper/5006904fbdd9daa5ad534393a45705a719dd8527</x:v>
      </x:c>
      <x:c r="AA103" s="88" t="str">
        <x:v>On Blockchain and Its Integration with IoT: Challenges and Opportunities</x:v>
      </x:c>
      <x:c r="AB103" s="88" t="str">
        <x:v>10.1016/j.future.2018.05.046</x:v>
      </x:c>
      <x:c r="AC103" s="88" t="str">
        <x:v>article</x:v>
      </x:c>
      <x:c r="AD103" s="88" t="str">
        <x:v>OA location did not return a PDF</x:v>
      </x:c>
    </x:row>
    <x:row r="104" ht="48" customHeight="1">
      <x:c r="A104" s="89" t="n">
        <x:v>103</x:v>
      </x:c>
      <x:c r="B104" s="86" t="str">
        <x:v>ferdous2020decentralized</x:v>
      </x:c>
      <x:c r="C104" s="88" t="str">
        <x:v>A Framework for Blockchain-Based Smart Farming System Using IoT</x:v>
      </x:c>
      <x:c r="D104" s="88" t="str">
        <x:v>Patil, Akshay S. and Tama, Bayu Adhi and Park, YoungHo and Rhee, Kyung-Hyune</x:v>
      </x:c>
      <x:c r="E104" s="89" t="n">
        <x:v>2022</x:v>
      </x:c>
      <x:c r="F104" s="88" t="str">
        <x:v>IEEE Access</x:v>
      </x:c>
      <x:c r="G104" s="88" t="str"/>
      <x:c r="H104" s="88" t="str">
        <x:v>article</x:v>
      </x:c>
      <x:c r="I104" s="86" t="str">
        <x:v>10.1109/access.2022.3142563</x:v>
      </x:c>
      <x:c r="J104" s="86" t="str">
        <x:v>https://doi.org/10.1109/access.2022.3142563</x:v>
      </x:c>
      <x:c r="K104" s="88" t="str"/>
      <x:c r="L104" s="88" t="str">
        <x:v>Not found in Crossref/OpenAlex/Semantic Scholar</x:v>
      </x:c>
      <x:c r="M104" s="88" t="str"/>
      <x:c r="N104" s="88" t="str"/>
      <x:c r="O104" s="90"/>
      <x:c r="P104" s="90"/>
      <x:c r="Q104" s="86" t="str">
        <x:v>unknown</x:v>
      </x:c>
      <x:c r="R104" s="86"/>
      <x:c r="S104" s="88" t="str"/>
      <x:c r="T104" s="88" t="str">
        <x:v>Bibliographic record could not be reliably resolved</x:v>
      </x:c>
      <x:c r="U104" s="88" t="str">
        <x:v>unresolved</x:v>
      </x:c>
      <x:c r="V104" s="88" t="str">
        <x:v>Unverified</x:v>
      </x:c>
      <x:c r="W104" s="88" t="str">
        <x:v>No reliable external match</x:v>
      </x:c>
      <x:c r="X104" s="88" t="str"/>
      <x:c r="Y104" s="88" t="str"/>
      <x:c r="Z104" s="88" t="str"/>
      <x:c r="AA104" s="88" t="str">
        <x:v>A Framework for Blockchain-Based Smart Farming System Using IoT</x:v>
      </x:c>
      <x:c r="AB104" s="88" t="str">
        <x:v>10.1109/access.2022.3142563</x:v>
      </x:c>
      <x:c r="AC104" s="88" t="str">
        <x:v>article</x:v>
      </x:c>
      <x:c r="AD104" s="88" t="str"/>
    </x:row>
    <x:row r="105" ht="48" customHeight="1">
      <x:c r="A105" s="89" t="n">
        <x:v>104</x:v>
      </x:c>
      <x:c r="B105" s="86" t="str">
        <x:v>shanhong2021water</x:v>
      </x:c>
      <x:c r="C105" s="88" t="str">
        <x:v>An IoT based smart irrigation management system using Machine learning and open source technologies</x:v>
      </x:c>
      <x:c r="D105" s="88" t="str">
        <x:v>Amarendra Goap; Deepak Sharma; A.K. Shukla; C. Rama Krishna</x:v>
      </x:c>
      <x:c r="E105" s="89" t="n">
        <x:v>2018</x:v>
      </x:c>
      <x:c r="F105" s="88" t="str">
        <x:v>Computers and Electronics in Agriculture</x:v>
      </x:c>
      <x:c r="G105" s="88" t="str">
        <x:v>Elsevier BV</x:v>
      </x:c>
      <x:c r="H105" s="88" t="str">
        <x:v>journal-article</x:v>
      </x:c>
      <x:c r="I105" s="86" t="str">
        <x:v>10.1016/j.compag.2018.09.040</x:v>
      </x:c>
      <x:c r="J105" s="86" t="str">
        <x:v>https://doi.org/10.1016/j.compag.2018.09.040</x:v>
      </x:c>
      <x:c r="K105"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L105" s="88" t="str">
        <x:v>Available</x:v>
      </x:c>
      <x:c r="M105" s="88" t="str">
        <x:v>Semantic Scholar</x:v>
      </x:c>
      <x:c r="N105" s="88" t="str">
        <x:v>Smart Agriculture and AI; Water Quality Monitoring Technologies; Internet of Things and AI; Computer Science</x:v>
      </x:c>
      <x:c r="O105" s="90" t="n">
        <x:v>574</x:v>
      </x:c>
      <x:c r="P105" s="90" t="n">
        <x:v>31</x:v>
      </x:c>
      <x:c r="Q105" s="86" t="str">
        <x:v>closed</x:v>
      </x:c>
      <x:c r="R105" s="87" t="b">
        <x:v>0</x:v>
      </x:c>
      <x:c r="S105" s="88" t="str">
        <x:v>https://www.elsevier.com/tdm/userlicense/1.0/</x:v>
      </x:c>
      <x:c r="T105" s="88" t="str">
        <x:v>Publication matched, but no lawful direct open-access PDF was found</x:v>
      </x:c>
      <x:c r="U105" s="88" t="str">
        <x:v>matched_no_oa_pdf</x:v>
      </x:c>
      <x:c r="V105" s="88" t="str">
        <x:v>High</x:v>
      </x:c>
      <x:c r="W105" s="88" t="str">
        <x:v>DOI resolved in Crossref</x:v>
      </x:c>
      <x:c r="X105" s="88" t="str">
        <x:v>https://doi.org/10.1016/j.compag.2018.09.040</x:v>
      </x:c>
      <x:c r="Y105" s="88" t="str">
        <x:v>https://openalex.org/W2896625020</x:v>
      </x:c>
      <x:c r="Z105" s="88" t="str">
        <x:v>https://www.semanticscholar.org/paper/dc367cca9a8c687edb8aa09b7ac3fafc802d0d38</x:v>
      </x:c>
      <x:c r="AA105" s="88" t="str">
        <x:v>An IoT based smart irrigation management system using Machine learning and open source technologies</x:v>
      </x:c>
      <x:c r="AB105" s="88" t="str">
        <x:v>10.1016/j.compag.2018.09.040</x:v>
      </x:c>
      <x:c r="AC105" s="88" t="str">
        <x:v>article</x:v>
      </x:c>
      <x:c r="AD105" s="88" t="str"/>
    </x:row>
    <x:row r="106" ht="48" customHeight="1">
      <x:c r="A106" s="89" t="n">
        <x:v>105</x:v>
      </x:c>
      <x:c r="B106" s="86" t="str">
        <x:v>chatterjee2023precision</x:v>
      </x:c>
      <x:c r="C106" s="88" t="str">
        <x:v>Digital twins in smart farming</x:v>
      </x:c>
      <x:c r="D106" s="88" t="str">
        <x:v>Cor Verdouw; Bedir Tekinerdogan; Adrie Beulens; Sjaak Wolfert</x:v>
      </x:c>
      <x:c r="E106" s="89" t="n">
        <x:v>2021</x:v>
      </x:c>
      <x:c r="F106" s="88" t="str">
        <x:v>Agricultural Systems</x:v>
      </x:c>
      <x:c r="G106" s="88" t="str">
        <x:v>Elsevier BV</x:v>
      </x:c>
      <x:c r="H106" s="88" t="str">
        <x:v>journal-article</x:v>
      </x:c>
      <x:c r="I106" s="86" t="str">
        <x:v>10.1016/j.agsy.2020.103046</x:v>
      </x:c>
      <x:c r="J106" s="86" t="str">
        <x:v>https://doi.org/10.1016/j.agsy.2020.103046</x:v>
      </x:c>
      <x:c r="K106" s="88" t="str">
        <x:v>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x:v>
      </x:c>
      <x:c r="L106" s="88" t="str">
        <x:v>Available</x:v>
      </x:c>
      <x:c r="M106" s="88" t="str">
        <x:v>OpenAlex</x:v>
      </x:c>
      <x:c r="N106" s="88" t="str">
        <x:v>Digital Transformation in Industry; Smart Agriculture and AI; IoT and Edge/Fog Computing; Computer Science</x:v>
      </x:c>
      <x:c r="O106" s="90" t="n">
        <x:v>624</x:v>
      </x:c>
      <x:c r="P106" s="90" t="n">
        <x:v>71</x:v>
      </x:c>
      <x:c r="Q106" s="86" t="str">
        <x:v>hybrid</x:v>
      </x:c>
      <x:c r="R106" s="87" t="b">
        <x:v>1</x:v>
      </x:c>
      <x:c r="S106" s="88" t="str">
        <x:v>https://www.elsevier.com/tdm/userlicense/1.0/; https://www.elsevier.com/legal/tdmrep-license; http://creativecommons.org/licenses/by/4.0/</x:v>
      </x:c>
      <x:c r="T106" s="88" t="str">
        <x:v>Publication matched; an OA landing page or metadata record was found, but no downloadable PDF was retrieved</x:v>
      </x:c>
      <x:c r="U106" s="88" t="str">
        <x:v>matched</x:v>
      </x:c>
      <x:c r="V106" s="88" t="str">
        <x:v>High</x:v>
      </x:c>
      <x:c r="W106" s="88" t="str">
        <x:v>DOI resolved in Crossref</x:v>
      </x:c>
      <x:c r="X106" s="88" t="str">
        <x:v>https://doi.org/10.1016/j.agsy.2020.103046</x:v>
      </x:c>
      <x:c r="Y106" s="88" t="str">
        <x:v>https://openalex.org/W3127757142</x:v>
      </x:c>
      <x:c r="Z106" s="88" t="str">
        <x:v>https://www.semanticscholar.org/paper/96de9ebbfc453d52c255d90d55eb7d09206c9581</x:v>
      </x:c>
      <x:c r="AA106" s="88" t="str">
        <x:v>Digital twins in smart farming</x:v>
      </x:c>
      <x:c r="AB106" s="88" t="str">
        <x:v>10.1016/j.agsy.2020.103046</x:v>
      </x:c>
      <x:c r="AC106" s="88" t="str">
        <x:v>article</x:v>
      </x:c>
      <x:c r="AD106" s="88" t="str">
        <x:v>OA location did not return a PDF</x:v>
      </x:c>
    </x:row>
    <x:row r="107" ht="48" customHeight="1">
      <x:c r="A107" s="89" t="n">
        <x:v>106</x:v>
      </x:c>
      <x:c r="B107" s="86" t="str">
        <x:v>gondchawar2016agriculture4</x:v>
      </x:c>
      <x:c r="C107" s="88" t="str">
        <x:v>IOT BASED SMART AGRICULTURE</x:v>
      </x:c>
      <x:c r="D107" s="88" t="str">
        <x:v>Agilesh R; Asrath J; Hariharasuthan N; Santhosh K; Sathya Priyan R</x:v>
      </x:c>
      <x:c r="E107" s="89" t="n">
        <x:v>2021</x:v>
      </x:c>
      <x:c r="F107" s="88" t="str">
        <x:v>Journal of Manufacturing Engineering</x:v>
      </x:c>
      <x:c r="G107" s="88" t="str">
        <x:v>Society for Manufacturing Engineers</x:v>
      </x:c>
      <x:c r="H107" s="88" t="str">
        <x:v>journal-article</x:v>
      </x:c>
      <x:c r="I107" s="86" t="str">
        <x:v>10.37255/jme.v16i3pp077-081</x:v>
      </x:c>
      <x:c r="J107" s="86" t="str">
        <x:v>https://doi.org/10.37255/jme.v16i3pp077-081</x:v>
      </x:c>
      <x:c r="K107" s="88" t="str">
        <x:v>Agriculture plays a vital role in the development of an agricultural country. Around 70% of people depend on farming in our country, and one-third of the nation's income comes from agriculture. Issues concerning agriculture have been continually impeding the improvement of the nation. The main answer for this issue is smart agriculture by modernizing the current customary strategies for farming. Henceforth the undertaking targets making agribusiness smart using computerization and IoT advances. The featuring highlights of this project incorporate smart GPSbased remote-controlled robots to perform errands like weeding, sensing moisture, animal and bird scaring, spraying, and so on. Also, it contains smart irrigation with savvy control and canny dynamic dependent on precise ongoing field information. Thirdly, smart warehouse management includes temperature support, humidity maintenance, and burglary discovery in the stockroom. Controlling of every one of these tasks will be through any far-off shrewd gadget or PC associated with the Web, and the tasks will be performed by interfacing sensors, Wi-Fi or ZigBee modules, camera and actuators with miniature regulator and raspberry pi</x:v>
      </x:c>
      <x:c r="L107" s="88" t="str">
        <x:v>Available</x:v>
      </x:c>
      <x:c r="M107" s="88" t="str">
        <x:v>Crossref</x:v>
      </x:c>
      <x:c r="N107" s="88" t="str">
        <x:v>Smart Agriculture and AI</x:v>
      </x:c>
      <x:c r="O107" s="90" t="n">
        <x:v>2</x:v>
      </x:c>
      <x:c r="P107" s="90" t="n">
        <x:v>0</x:v>
      </x:c>
      <x:c r="Q107" s="86" t="str">
        <x:v>diamond</x:v>
      </x:c>
      <x:c r="R107" s="87" t="b">
        <x:v>1</x:v>
      </x:c>
      <x:c r="S107" s="88" t="str"/>
      <x:c r="T107" s="88" t="str">
        <x:v>Publication matched; an OA landing page or metadata record was found, but no downloadable PDF was retrieved</x:v>
      </x:c>
      <x:c r="U107" s="88" t="str">
        <x:v>matched</x:v>
      </x:c>
      <x:c r="V107" s="88" t="str">
        <x:v>High</x:v>
      </x:c>
      <x:c r="W107" s="88" t="str">
        <x:v>DOI resolved in Crossref</x:v>
      </x:c>
      <x:c r="X107" s="88" t="str">
        <x:v>https://doi.org/10.37255/jme.v16i3pp077-081</x:v>
      </x:c>
      <x:c r="Y107" s="88" t="str">
        <x:v>https://openalex.org/W4211039917</x:v>
      </x:c>
      <x:c r="Z107" s="88" t="str">
        <x:v>https://www.semanticscholar.org/paper/c77d1965f44f2aa55eef4220251841e9551ed1b2</x:v>
      </x:c>
      <x:c r="AA107" s="88" t="str">
        <x:v>IOT Based Smart Agriculture</x:v>
      </x:c>
      <x:c r="AB107" s="88" t="str">
        <x:v>10.37255/jme.v16i3pp077-081</x:v>
      </x:c>
      <x:c r="AC107" s="88" t="str">
        <x:v>article</x:v>
      </x:c>
      <x:c r="AD107" s="88" t="str">
        <x:v>OA location did not return a PDF</x:v>
      </x:c>
    </x:row>
    <x:row r="108" ht="48" customHeight="1">
      <x:c r="A108" s="89" t="n">
        <x:v>107</x:v>
      </x:c>
      <x:c r="B108" s="86" t="str">
        <x:v>liu2024blockchainwater</x:v>
      </x:c>
      <x:c r="C108" s="88" t="str">
        <x:v>A blockchain- and self-sovereign identity-based collaborative framework for secure and verifiable cross-organizational data sharing in smart irrigation</x:v>
      </x:c>
      <x:c r="D108" s="88" t="str">
        <x:v>Okacha Amraouy; Mohammed Benbrahim; Mohammed Nabil Kabbaj</x:v>
      </x:c>
      <x:c r="E108" s="89" t="n">
        <x:v>2025</x:v>
      </x:c>
      <x:c r="F108" s="88" t="str">
        <x:v>Smart Agricultural Technology</x:v>
      </x:c>
      <x:c r="G108" s="88" t="str">
        <x:v>Elsevier BV</x:v>
      </x:c>
      <x:c r="H108" s="88" t="str">
        <x:v>journal-article</x:v>
      </x:c>
      <x:c r="I108" s="86" t="str">
        <x:v>10.1016/j.atech.2025.101654</x:v>
      </x:c>
      <x:c r="J108" s="86" t="str">
        <x:v>https://doi.org/10.1016/j.atech.2025.101654</x:v>
      </x:c>
      <x:c r="K108"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L108" s="88" t="str">
        <x:v>Available</x:v>
      </x:c>
      <x:c r="M108" s="88" t="str">
        <x:v>OpenAlex</x:v>
      </x:c>
      <x:c r="N108" s="88" t="str">
        <x:v>Blockchain Technology Applications and Security; Smart Agriculture and AI; IoT and Edge/Fog Computing</x:v>
      </x:c>
      <x:c r="O108" s="90" t="n">
        <x:v>4</x:v>
      </x:c>
      <x:c r="P108" s="90" t="n">
        <x:v>106</x:v>
      </x:c>
      <x:c r="Q108" s="86" t="str">
        <x:v>gold</x:v>
      </x:c>
      <x:c r="R108" s="87" t="b">
        <x:v>1</x:v>
      </x:c>
      <x:c r="S108" s="88" t="str">
        <x:v>https://www.elsevier.com/tdm/userlicense/1.0/; https://www.elsevier.com/legal/tdmrep-license; http://creativecommons.org/licenses/by-nc-nd/4.0/</x:v>
      </x:c>
      <x:c r="T108" s="88" t="str">
        <x:v>Publication matched; an OA landing page or metadata record was found, but no downloadable PDF was retrieved</x:v>
      </x:c>
      <x:c r="U108" s="88" t="str">
        <x:v>matched</x:v>
      </x:c>
      <x:c r="V108" s="88" t="str">
        <x:v>High</x:v>
      </x:c>
      <x:c r="W108" s="88" t="str">
        <x:v>DOI resolved in Crossref</x:v>
      </x:c>
      <x:c r="X108" s="88" t="str">
        <x:v>https://doi.org/10.1016/j.atech.2025.101654</x:v>
      </x:c>
      <x:c r="Y108" s="88" t="str">
        <x:v>https://openalex.org/W4416451026</x:v>
      </x:c>
      <x:c r="Z108" s="88" t="str">
        <x:v>https://www.semanticscholar.org/paper/1a5653e447f1df9cee9400c6c082aecff7fff0a9</x:v>
      </x:c>
      <x:c r="AA108" s="88" t="str">
        <x:v>A blockchain- and self-sovereign identity-based collaborative framework for secure and verifiable cross-organizational data sharing in smart irrigation</x:v>
      </x:c>
      <x:c r="AB108" s="88" t="str">
        <x:v>10.1016/j.atech.2025.101654</x:v>
      </x:c>
      <x:c r="AC108" s="88" t="str">
        <x:v>article</x:v>
      </x:c>
      <x:c r="AD108" s="88" t="str">
        <x:v>Open-access landing page found, but no direct PDF URL</x:v>
      </x:c>
    </x:row>
    <x:row r="109" ht="48" customHeight="1">
      <x:c r="A109" s="89" t="n">
        <x:v>108</x:v>
      </x:c>
      <x:c r="B109" s="86" t="str">
        <x:v>tia2020waterstress</x:v>
      </x:c>
      <x:c r="C109" s="88" t="str">
        <x:v>Challenges to Manage the Risk of Water Scarcity and Climate Change in the Mediterranean</x:v>
      </x:c>
      <x:c r="D109" s="88" t="str">
        <x:v>Ana Iglesias; Luis Garrote; Francisco Flores; Marta Moneo</x:v>
      </x:c>
      <x:c r="E109" s="89" t="n">
        <x:v>2006</x:v>
      </x:c>
      <x:c r="F109" s="88" t="str">
        <x:v>Water Resources Management</x:v>
      </x:c>
      <x:c r="G109" s="88" t="str">
        <x:v>Springer Science and Business Media LLC</x:v>
      </x:c>
      <x:c r="H109" s="88" t="str">
        <x:v>journal-article</x:v>
      </x:c>
      <x:c r="I109" s="86" t="str">
        <x:v>10.1007/s11269-006-9111-6</x:v>
      </x:c>
      <x:c r="J109" s="86" t="str">
        <x:v>https://doi.org/10.1007/s11269-006-9111-6</x:v>
      </x:c>
      <x:c r="K109" s="88" t="str"/>
      <x:c r="L109" s="88" t="str">
        <x:v>Not found in Crossref/OpenAlex/Semantic Scholar</x:v>
      </x:c>
      <x:c r="M109" s="88" t="str"/>
      <x:c r="N109" s="88" t="str">
        <x:v>Water resources management and optimization; Hydrology and Drought Analysis; Flood Risk Assessment and Management; Business</x:v>
      </x:c>
      <x:c r="O109" s="90" t="n">
        <x:v>416</x:v>
      </x:c>
      <x:c r="P109" s="90" t="n">
        <x:v>45</x:v>
      </x:c>
      <x:c r="Q109" s="86" t="str">
        <x:v>closed</x:v>
      </x:c>
      <x:c r="R109" s="87" t="b">
        <x:v>0</x:v>
      </x:c>
      <x:c r="S109" s="88" t="str">
        <x:v>https://www.springer.com/tdm; https://www.springer.com/tdm</x:v>
      </x:c>
      <x:c r="T109" s="88" t="str">
        <x:v>Publication matched, but no lawful direct open-access PDF was found</x:v>
      </x:c>
      <x:c r="U109" s="88" t="str">
        <x:v>matched_no_oa_pdf</x:v>
      </x:c>
      <x:c r="V109" s="88" t="str">
        <x:v>High</x:v>
      </x:c>
      <x:c r="W109" s="88" t="str">
        <x:v>DOI resolved in Crossref</x:v>
      </x:c>
      <x:c r="X109" s="88" t="str">
        <x:v>https://doi.org/10.1007/s11269-006-9111-6</x:v>
      </x:c>
      <x:c r="Y109" s="88" t="str">
        <x:v>https://openalex.org/W2063719203</x:v>
      </x:c>
      <x:c r="Z109" s="88" t="str">
        <x:v>https://www.semanticscholar.org/paper/52ef740c06a51fece2431a0255033d171fdb5e9b</x:v>
      </x:c>
      <x:c r="AA109" s="88" t="str">
        <x:v>Challenges to Manage the Risk of Water Scarcity and Climate Change in the Mediterranean</x:v>
      </x:c>
      <x:c r="AB109" s="88" t="str">
        <x:v>10.1007/s11269-006-9111-6</x:v>
      </x:c>
      <x:c r="AC109" s="88" t="str">
        <x:v>article</x:v>
      </x:c>
      <x:c r="AD109" s="88" t="str"/>
    </x:row>
    <x:row r="110" ht="48" customHeight="1">
      <x:c r="A110" s="89" t="n">
        <x:v>109</x:v>
      </x:c>
      <x:c r="B110" s="86" t="str">
        <x:v>benali2024tunisiaWater</x:v>
      </x:c>
      <x:c r="C110" s="88" t="str">
        <x:v>Agriculture sustainability in arid lands of southern Tunisia: Ecological impacts of irrigation water quality and human practices*</x:v>
      </x:c>
      <x:c r="D110" s="88" t="str">
        <x:v>Latifa Dhaouadi; Houda Besser; Fatma Wassar; Nissaf Kharbout; Naima Ben Brahim; Mohamed As Wahba; Yaohu Kang Kang</x:v>
      </x:c>
      <x:c r="E110" s="89" t="n">
        <x:v>2020</x:v>
      </x:c>
      <x:c r="F110" s="88" t="str">
        <x:v>Irrigation and Drainage</x:v>
      </x:c>
      <x:c r="G110" s="88" t="str">
        <x:v>Wiley</x:v>
      </x:c>
      <x:c r="H110" s="88" t="str">
        <x:v>journal-article</x:v>
      </x:c>
      <x:c r="I110" s="86" t="str">
        <x:v>10.1002/ird.2492</x:v>
      </x:c>
      <x:c r="J110" s="86" t="str">
        <x:v>https://doi.org/10.1002/ird.2492</x:v>
      </x:c>
      <x:c r="K110" s="88" t="str">
        <x:v>Abstract Groundwater resources in southwestern Tunisia are facing serious quantity and quality degradation. Given that they are the only source used for oasis irrigation, serious impacts on the soil of the region are expected. Accordingly, the main objective of this study is to evaluate the suitability of the sampled water from the Complex Terminal aquifer for irrigation purposes and to determine the potential impacts of their long‐term use within the present agricultural practices on soil properties. The calculated ionic ratios indicate different classes ranging from permissible to unsuitable waters with respect to alkalinity standards (sodium adsorption ratio from 3.68 to 9.34, %Na from 36.7 to 61.2, and rill erodibility from 0.48 to 1.43). Water samples present high values of electrical conductivity, total dissolved solids, and potential salinity, about 54.5, 29.4, and 32.2%, respectively, which indicates serious salinity hazard. All the sampled waters may induce corrosion and clogging problems as deduced from the calculated light dynamic penetrometer and total hardness indices. The weighted water quality indices results (Canadian Water Quality Index and the irrigation water quality index) confirm the poor quality of the used irrigation water. The results of this study coupled with field investigations indicate that the cumulative impacts of low water quality and poor agricultural practices have damaged the total oasean ecosystem.</x:v>
      </x:c>
      <x:c r="L110" s="88" t="str">
        <x:v>Available</x:v>
      </x:c>
      <x:c r="M110" s="88" t="str">
        <x:v>Crossref</x:v>
      </x:c>
      <x:c r="N110" s="88" t="str">
        <x:v>Groundwater and Isotope Geochemistry; Water management and technologies; Groundwater and Watershed Analysis; Environmental Science</x:v>
      </x:c>
      <x:c r="O110" s="90" t="n">
        <x:v>20</x:v>
      </x:c>
      <x:c r="P110" s="90" t="n">
        <x:v>69</x:v>
      </x:c>
      <x:c r="Q110" s="86" t="str">
        <x:v>closed</x:v>
      </x:c>
      <x:c r="R110" s="87" t="b">
        <x:v>0</x:v>
      </x:c>
      <x:c r="S110" s="88" t="str">
        <x:v>http://onlinelibrary.wiley.com/termsAndConditions#vor</x:v>
      </x:c>
      <x:c r="T110" s="88" t="str">
        <x:v>Publication matched, but no lawful direct open-access PDF was found</x:v>
      </x:c>
      <x:c r="U110" s="88" t="str">
        <x:v>matched_no_oa_pdf</x:v>
      </x:c>
      <x:c r="V110" s="88" t="str">
        <x:v>High</x:v>
      </x:c>
      <x:c r="W110" s="88" t="str">
        <x:v>DOI resolved in Crossref</x:v>
      </x:c>
      <x:c r="X110" s="88" t="str">
        <x:v>https://doi.org/10.1002/ird.2492</x:v>
      </x:c>
      <x:c r="Y110" s="88" t="str">
        <x:v>https://openalex.org/W3046716741</x:v>
      </x:c>
      <x:c r="Z110" s="88" t="str">
        <x:v>https://www.semanticscholar.org/paper/41d05d22ad3a5e26d53048012d25e27379fac796</x:v>
      </x:c>
      <x:c r="AA110" s="88" t="str">
        <x:v>Agriculture sustainability in arid lands of southern Tunisia: Ecological impacts of irrigation water quality and human practices</x:v>
      </x:c>
      <x:c r="AB110" s="88" t="str">
        <x:v>10.1002/ird.2492</x:v>
      </x:c>
      <x:c r="AC110" s="88" t="str">
        <x:v>article</x:v>
      </x:c>
      <x:c r="AD110" s="88" t="str"/>
    </x:row>
    <x:row r="111" ht="48" customHeight="1">
      <x:c r="A111" s="89" t="n">
        <x:v>110</x:v>
      </x:c>
      <x:c r="B111" s="86" t="str">
        <x:v>khan2021fabricCRT</x:v>
      </x:c>
      <x:c r="C111" s="88" t="str">
        <x:v>Residue Number System-based Approach to Minimise Energy Consumption in Wireless Sensor Networks</x:v>
      </x:c>
      <x:c r="D111" s="88" t="str">
        <x:v>Rahman, Md Atiqur and Hamzah, Faisal and Safdar, Ghazanfar Ali</x:v>
      </x:c>
      <x:c r="E111" s="89" t="n">
        <x:v>2022</x:v>
      </x:c>
      <x:c r="F111" s="88" t="str">
        <x:v>IEEE Access</x:v>
      </x:c>
      <x:c r="G111" s="88" t="str"/>
      <x:c r="H111" s="88" t="str">
        <x:v>article</x:v>
      </x:c>
      <x:c r="I111" s="86" t="str">
        <x:v>10.1109/access.2022.3146851</x:v>
      </x:c>
      <x:c r="J111" s="86" t="str">
        <x:v>https://doi.org/10.1109/access.2022.3146851</x:v>
      </x:c>
      <x:c r="K111" s="88" t="str"/>
      <x:c r="L111" s="88" t="str">
        <x:v>Not found in Crossref/OpenAlex/Semantic Scholar</x:v>
      </x:c>
      <x:c r="M111" s="88" t="str"/>
      <x:c r="N111" s="88" t="str"/>
      <x:c r="O111" s="90"/>
      <x:c r="P111" s="90"/>
      <x:c r="Q111" s="86" t="str">
        <x:v>diamond</x:v>
      </x:c>
      <x:c r="R111" s="86"/>
      <x:c r="S111" s="88" t="str"/>
      <x:c r="T111" s="88" t="str">
        <x:v>Publication matched; an OA landing page or metadata record was found, but no downloadable PDF was retrieved</x:v>
      </x:c>
      <x:c r="U111" s="88" t="str">
        <x:v>matched</x:v>
      </x:c>
      <x:c r="V111" s="88" t="str">
        <x:v>Unverified</x:v>
      </x:c>
      <x:c r="W111" s="88" t="str">
        <x:v>No reliable external match</x:v>
      </x:c>
      <x:c r="X111" s="88" t="str"/>
      <x:c r="Y111" s="88" t="str"/>
      <x:c r="Z111" s="88" t="str"/>
      <x:c r="AA111" s="88" t="str">
        <x:v>Residue Number System-based Approach to Minimise Energy Consumption in Wireless Sensor Networks</x:v>
      </x:c>
      <x:c r="AB111" s="88" t="str">
        <x:v>10.1109/access.2022.3146851</x:v>
      </x:c>
      <x:c r="AC111" s="88" t="str">
        <x:v>article</x:v>
      </x:c>
      <x:c r="AD111" s="88" t="str">
        <x:v>OA location did not return a PDF</x:v>
      </x:c>
    </x:row>
    <x:row r="112" ht="48" customHeight="1">
      <x:c r="A112" s="89" t="n">
        <x:v>111</x:v>
      </x:c>
      <x:c r="B112" s="86" t="str">
        <x:v>salmi2020rsa</x:v>
      </x:c>
      <x:c r="C112" s="88" t="str">
        <x:v>A novel user authentication and key agreement scheme for heterogeneous ad hoc wireless sensor networks, based on the Internet of Things notion</x:v>
      </x:c>
      <x:c r="D112" s="88" t="str">
        <x:v>Muhamed Turkanović; Boštjan Brumen; Marko Hölbl</x:v>
      </x:c>
      <x:c r="E112" s="89" t="n">
        <x:v>2014</x:v>
      </x:c>
      <x:c r="F112" s="88" t="str">
        <x:v>Ad Hoc Networks</x:v>
      </x:c>
      <x:c r="G112" s="88" t="str">
        <x:v>Elsevier BV</x:v>
      </x:c>
      <x:c r="H112" s="88" t="str">
        <x:v>journal-article</x:v>
      </x:c>
      <x:c r="I112" s="86" t="str">
        <x:v>10.1016/j.adhoc.2014.03.009</x:v>
      </x:c>
      <x:c r="J112" s="86" t="str">
        <x:v>https://doi.org/10.1016/j.adhoc.2014.03.009</x:v>
      </x:c>
      <x:c r="K112" s="88" t="str"/>
      <x:c r="L112" s="88" t="str">
        <x:v>Not found in Crossref/OpenAlex/Semantic Scholar</x:v>
      </x:c>
      <x:c r="M112" s="88" t="str"/>
      <x:c r="N112" s="88" t="str">
        <x:v>Security in Wireless Sensor Networks; Advanced Authentication Protocols Security; Wireless Body Area Networks; Computer Science</x:v>
      </x:c>
      <x:c r="O112" s="90" t="n">
        <x:v>600</x:v>
      </x:c>
      <x:c r="P112" s="90" t="n">
        <x:v>47</x:v>
      </x:c>
      <x:c r="Q112" s="86" t="str">
        <x:v>closed</x:v>
      </x:c>
      <x:c r="R112" s="87" t="b">
        <x:v>0</x:v>
      </x:c>
      <x:c r="S112" s="88" t="str"/>
      <x:c r="T112" s="88" t="str">
        <x:v>Publication matched, but no lawful direct open-access PDF was found</x:v>
      </x:c>
      <x:c r="U112" s="88" t="str">
        <x:v>matched_no_oa_pdf</x:v>
      </x:c>
      <x:c r="V112" s="88" t="str">
        <x:v>High</x:v>
      </x:c>
      <x:c r="W112" s="88" t="str">
        <x:v>DOI resolved in Crossref</x:v>
      </x:c>
      <x:c r="X112" s="88" t="str">
        <x:v>https://doi.org/10.1016/j.adhoc.2014.03.009</x:v>
      </x:c>
      <x:c r="Y112" s="88" t="str">
        <x:v>https://openalex.org/W2095054754</x:v>
      </x:c>
      <x:c r="Z112" s="88" t="str">
        <x:v>https://www.semanticscholar.org/paper/3f3e37228530858caf484dd035b35a40f470653e</x:v>
      </x:c>
      <x:c r="AA112" s="88" t="str">
        <x:v>A novel user authentication and key agreement scheme for heterogeneous ad hoc wireless sensor networks, based on the Internet of Things notion</x:v>
      </x:c>
      <x:c r="AB112" s="88" t="str">
        <x:v>10.1016/j.adhoc.2014.03.009</x:v>
      </x:c>
      <x:c r="AC112" s="88" t="str">
        <x:v>article</x:v>
      </x:c>
      <x:c r="AD112" s="88" t="str"/>
    </x:row>
    <x:row r="113" ht="48" customHeight="1">
      <x:c r="A113" s="89" t="n">
        <x:v>112</x:v>
      </x:c>
      <x:c r="B113" s="86" t="str">
        <x:v>sharma2018merkle</x:v>
      </x:c>
      <x:c r="C113" s="88" t="str">
        <x:v>Number Plate Detection with a Multi-Convolutional Neural Network Approach with Optical Character Recognition for Mobile Devices</x:v>
      </x:c>
      <x:c r="D113" s="88" t="str">
        <x:v>Christian Gerber; Mokdong Chung</x:v>
      </x:c>
      <x:c r="E113" s="89" t="n">
        <x:v>2016</x:v>
      </x:c>
      <x:c r="F113" s="88" t="str">
        <x:v>Journal of Information Processing Systems</x:v>
      </x:c>
      <x:c r="G113" s="88" t="str">
        <x:v>Korea Information Processing Society</x:v>
      </x:c>
      <x:c r="H113" s="88" t="str">
        <x:v>journal-article</x:v>
      </x:c>
      <x:c r="I113" s="86" t="str">
        <x:v>10.3745/jips.04.0022</x:v>
      </x:c>
      <x:c r="J113" s="86" t="str">
        <x:v>https://doi.org/10.3745/jips.04.0022</x:v>
      </x:c>
      <x:c r="K113" s="88" t="str">
        <x:v>In this paper, we propose a method to achieve improved number plate detection for mobile devices by applying a multiple convolutional neural network (CNN) approach. First, we processed supervised CNN-verified car detection and then we applied the detected car regions to the next supervised CNN-verifier for number plate detection. In the final step, the detected number plate regions were verified through optical character recognition by another CNN-verifier. Since mobile devices are limited in computation power, we are proposing a fast method to recognize number plates. We expect for it to be used in the field of intelligent transportation systems.</x:v>
      </x:c>
      <x:c r="L113" s="88" t="str">
        <x:v>Available</x:v>
      </x:c>
      <x:c r="M113" s="88" t="str">
        <x:v>OpenAlex</x:v>
      </x:c>
      <x:c r="N113" s="88" t="str">
        <x:v>Vehicle License Plate Recognition; Handwritten Text Recognition Techniques; Blind Source Separation Techniques; Computer Science</x:v>
      </x:c>
      <x:c r="O113" s="90" t="n">
        <x:v>4</x:v>
      </x:c>
      <x:c r="P113" s="90" t="n">
        <x:v>1</x:v>
      </x:c>
      <x:c r="Q113" s="86" t="str">
        <x:v>diamond</x:v>
      </x:c>
      <x:c r="R113" s="87" t="b">
        <x:v>1</x:v>
      </x:c>
      <x:c r="S113" s="88" t="str"/>
      <x:c r="T113" s="88" t="str">
        <x:v>Publication matched; an OA landing page or metadata record was found, but no downloadable PDF was retrieved</x:v>
      </x:c>
      <x:c r="U113" s="88" t="str">
        <x:v>matched</x:v>
      </x:c>
      <x:c r="V113" s="88" t="str">
        <x:v>High</x:v>
      </x:c>
      <x:c r="W113" s="88" t="str">
        <x:v>DOI resolved in Crossref</x:v>
      </x:c>
      <x:c r="X113" s="88" t="str">
        <x:v>https://doi.org/10.3745/jips.04.0022</x:v>
      </x:c>
      <x:c r="Y113" s="88" t="str">
        <x:v>https://openalex.org/W2580288201</x:v>
      </x:c>
      <x:c r="Z113" s="88" t="str">
        <x:v>https://www.semanticscholar.org/paper/e015047bace9d909de956a9f3db70ab64a57d6a5</x:v>
      </x:c>
      <x:c r="AA113" s="88" t="str">
        <x:v>Block-VN: A Distributed Blockchain Based Vehicular Network Architecture in Smart City</x:v>
      </x:c>
      <x:c r="AB113" s="88" t="str">
        <x:v>10.3745/jips.04.0022</x:v>
      </x:c>
      <x:c r="AC113" s="88" t="str">
        <x:v>article</x:v>
      </x:c>
      <x:c r="AD113" s="88" t="str">
        <x:v>OA PDF download failed</x:v>
      </x:c>
    </x:row>
    <x:row r="114" ht="48" customHeight="1">
      <x:c r="A114" s="89" t="n">
        <x:v>113</x:v>
      </x:c>
      <x:c r="B114" s="86" t="str">
        <x:v>marjanovic2024traceability</x:v>
      </x:c>
      <x:c r="C114" s="88" t="str">
        <x:v>A blockchain- and self-sovereign identity-based collaborative framework for secure and verifiable cross-organizational data sharing in smart irrigation</x:v>
      </x:c>
      <x:c r="D114" s="88" t="str">
        <x:v>Okacha Amraouy; Mohammed Benbrahim; Mohammed Nabil Kabbaj</x:v>
      </x:c>
      <x:c r="E114" s="89" t="n">
        <x:v>2025</x:v>
      </x:c>
      <x:c r="F114" s="88" t="str">
        <x:v>Smart Agricultural Technology</x:v>
      </x:c>
      <x:c r="G114" s="88" t="str">
        <x:v>Elsevier BV</x:v>
      </x:c>
      <x:c r="H114" s="88" t="str">
        <x:v>journal-article</x:v>
      </x:c>
      <x:c r="I114" s="86" t="str">
        <x:v>10.1016/j.atech.2025.101654</x:v>
      </x:c>
      <x:c r="J114" s="86" t="str">
        <x:v>https://doi.org/10.1016/j.atech.2025.101654</x:v>
      </x:c>
      <x:c r="K114"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L114" s="88" t="str">
        <x:v>Available</x:v>
      </x:c>
      <x:c r="M114" s="88" t="str">
        <x:v>OpenAlex</x:v>
      </x:c>
      <x:c r="N114" s="88" t="str">
        <x:v>Blockchain Technology Applications and Security; Smart Agriculture and AI; IoT and Edge/Fog Computing</x:v>
      </x:c>
      <x:c r="O114" s="90" t="n">
        <x:v>4</x:v>
      </x:c>
      <x:c r="P114" s="90" t="n">
        <x:v>106</x:v>
      </x:c>
      <x:c r="Q114" s="86" t="str">
        <x:v>gold</x:v>
      </x:c>
      <x:c r="R114" s="87" t="b">
        <x:v>1</x:v>
      </x:c>
      <x:c r="S114" s="88" t="str">
        <x:v>https://www.elsevier.com/tdm/userlicense/1.0/; https://www.elsevier.com/legal/tdmrep-license; http://creativecommons.org/licenses/by-nc-nd/4.0/</x:v>
      </x:c>
      <x:c r="T114" s="88" t="str">
        <x:v>Publication matched; an OA landing page or metadata record was found, but no downloadable PDF was retrieved</x:v>
      </x:c>
      <x:c r="U114" s="88" t="str">
        <x:v>matched</x:v>
      </x:c>
      <x:c r="V114" s="88" t="str">
        <x:v>High</x:v>
      </x:c>
      <x:c r="W114" s="88" t="str">
        <x:v>DOI resolved in Crossref</x:v>
      </x:c>
      <x:c r="X114" s="88" t="str">
        <x:v>https://doi.org/10.1016/j.atech.2025.101654</x:v>
      </x:c>
      <x:c r="Y114" s="88" t="str">
        <x:v>https://openalex.org/W4416451026</x:v>
      </x:c>
      <x:c r="Z114" s="88" t="str">
        <x:v>https://www.semanticscholar.org/paper/1a5653e447f1df9cee9400c6c082aecff7fff0a9</x:v>
      </x:c>
      <x:c r="AA114" s="88" t="str">
        <x:v>A blockchain- and self-sovereign identity-based collaborative framework for secure and verifiable cross-organizational data sharing in smart irrigation</x:v>
      </x:c>
      <x:c r="AB114" s="88" t="str">
        <x:v>10.1016/j.atech.2025.101654</x:v>
      </x:c>
      <x:c r="AC114" s="88" t="str">
        <x:v>article</x:v>
      </x:c>
      <x:c r="AD114" s="88" t="str">
        <x:v>Open-access landing page found, but no direct PDF URL</x:v>
      </x:c>
    </x:row>
    <x:row r="115" ht="48" customHeight="1">
      <x:c r="A115" s="89" t="n">
        <x:v>114</x:v>
      </x:c>
      <x:c r="B115" s="86" t="str">
        <x:v>zhao2023smartcontracts</x:v>
      </x:c>
      <x:c r="C115" s="88" t="str">
        <x:v>A review on different types of material joints fabricated by microwave hybrid heating method</x:v>
      </x:c>
      <x:c r="D115" s="88" t="str">
        <x:v>Parminder Singh; D.R. Prajapati; Shankar Sehgal</x:v>
      </x:c>
      <x:c r="E115" s="89" t="n">
        <x:v>2022</x:v>
      </x:c>
      <x:c r="F115" s="88" t="str">
        <x:v>Materials Today: Proceedings</x:v>
      </x:c>
      <x:c r="G115" s="88" t="str">
        <x:v>Elsevier BV</x:v>
      </x:c>
      <x:c r="H115" s="88" t="str">
        <x:v>journal-article</x:v>
      </x:c>
      <x:c r="I115" s="86" t="str">
        <x:v>10.1016/j.matpr.2021.06.253</x:v>
      </x:c>
      <x:c r="J115" s="86" t="str">
        <x:v>https://doi.org/10.1016/j.matpr.2021.06.253</x:v>
      </x:c>
      <x:c r="K115" s="88" t="str">
        <x:v>Abstract In this paper, literature review on similar and dissimilar joints through microwave hybrid heating has been discussed briefly. A lot of restrictions of the conventional joining methods can be eliminated through microwave hybrid heating joining technique. Microwave hybrid heating also has one more advantage over other conventional processes that it is environment friendly and has good prospects of being adopted in industrial automation. This study discusses impact of different factors on properties of joints formed by microwave hybrid heating. Present study will also give directions to researchers about existing problems and future scope of this joining technique.</x:v>
      </x:c>
      <x:c r="L115" s="88" t="str">
        <x:v>Available</x:v>
      </x:c>
      <x:c r="M115" s="88" t="str">
        <x:v>Semantic Scholar</x:v>
      </x:c>
      <x:c r="N115" s="88" t="str">
        <x:v>Microwave-Assisted Synthesis and Applications; Advanced ceramic materials synthesis; Aluminum Alloys Composites Properties; Materials Science</x:v>
      </x:c>
      <x:c r="O115" s="90" t="n">
        <x:v>8</x:v>
      </x:c>
      <x:c r="P115" s="90" t="n">
        <x:v>45</x:v>
      </x:c>
      <x:c r="Q115" s="86" t="str">
        <x:v>closed</x:v>
      </x:c>
      <x:c r="R115" s="87" t="b">
        <x:v>0</x:v>
      </x:c>
      <x:c r="S115" s="88" t="str">
        <x:v>https://www.elsevier.com/tdm/userlicense/1.0/; https://www.elsevier.com/legal/tdmrep-license</x:v>
      </x:c>
      <x:c r="T115" s="88" t="str">
        <x:v>Publication matched, but no lawful direct open-access PDF was found</x:v>
      </x:c>
      <x:c r="U115" s="88" t="str">
        <x:v>matched_no_oa_pdf</x:v>
      </x:c>
      <x:c r="V115" s="88" t="str">
        <x:v>High</x:v>
      </x:c>
      <x:c r="W115" s="88" t="str">
        <x:v>DOI resolved in Crossref</x:v>
      </x:c>
      <x:c r="X115" s="88" t="str">
        <x:v>https://doi.org/10.1016/j.matpr.2021.06.253</x:v>
      </x:c>
      <x:c r="Y115" s="88" t="str">
        <x:v>https://openalex.org/W3175867934</x:v>
      </x:c>
      <x:c r="Z115" s="88" t="str">
        <x:v>https://www.semanticscholar.org/paper/0afe241b5fd5b72d824d0936e3c66a3a87af232f</x:v>
      </x:c>
      <x:c r="AA115" s="88" t="str">
        <x:v>A systematic review of blockchain technology for agriculture supply chain management</x:v>
      </x:c>
      <x:c r="AB115" s="88" t="str">
        <x:v>10.1016/j.matpr.2021.06.253</x:v>
      </x:c>
      <x:c r="AC115" s="88" t="str">
        <x:v>article</x:v>
      </x:c>
      <x:c r="AD115" s="88" t="str"/>
    </x:row>
    <x:row r="116" ht="48" customHeight="1">
      <x:c r="A116" s="89" t="n">
        <x:v>115</x:v>
      </x:c>
      <x:c r="B116" s="86" t="str">
        <x:v>williams2022savings</x:v>
      </x:c>
      <x:c r="C116" s="88" t="str">
        <x:v>A review on monitoring and advanced control strategies for precision irrigation</x:v>
      </x:c>
      <x:c r="D116" s="88" t="str">
        <x:v>Emmanuel Abiodun Abioye; Mohammad Shukri Zainal Abidin; Mohd Saiful Azimi Mahmud; Salinda Buyamin; Mohamad Hafis Izran Ishak; Muhammad Khairie Idham Abd Rahman; Abdulrahaman Okino Otuoze; Patrick Onotu; Muhammad Shahrul Azwan Ramli</x:v>
      </x:c>
      <x:c r="E116" s="89" t="n">
        <x:v>2020</x:v>
      </x:c>
      <x:c r="F116" s="88" t="str">
        <x:v>Computers and Electronics in Agriculture</x:v>
      </x:c>
      <x:c r="G116" s="88" t="str">
        <x:v>Elsevier BV</x:v>
      </x:c>
      <x:c r="H116" s="88" t="str">
        <x:v>journal-article</x:v>
      </x:c>
      <x:c r="I116" s="86" t="str">
        <x:v>10.1016/j.compag.2020.105441</x:v>
      </x:c>
      <x:c r="J116" s="86" t="str">
        <x:v>https://doi.org/10.1016/j.compag.2020.105441</x:v>
      </x:c>
      <x:c r="K116" s="88" t="str">
        <x:v>Abstract The demand for freshwater is on the increase due to the rapid growth in the world’s population while the effect of global warming and climate change cause severe threat to water use and food security. Consequently, irrigation systems are tremendously utilized by many farmers all over the world with its associated high amount of water consumption from various sources posing a major concern. This necessitates the increased focus on improving the efficiency of water usage in irrigation agriculture. The advent and rapid successes of the Internet of Things (IoT) and advanced control strategies are being leveraged to achieve improved monitoring and control of irrigation farming. In this review, a thorough search for literature on irrigation monitoring and advanced control systems highlighting the research works within the past ten years are presented. Attention is paid on recent research works related to the monitoring and advance control concepts for precision irrigation. It is expected that this review paper will serve as a useful reference to enhance reader’s knowledge on monitoring and advanced control opportunities related to irrigation agriculture as well as assist researchers in identifying directions and gaps to future research works in this field.</x:v>
      </x:c>
      <x:c r="L116" s="88" t="str">
        <x:v>Available</x:v>
      </x:c>
      <x:c r="M116" s="88" t="str">
        <x:v>Semantic Scholar</x:v>
      </x:c>
      <x:c r="N116" s="88" t="str">
        <x:v>Smart Agriculture and AI; Irrigation Practices and Water Management; Evolutionary Algorithms and Applications; Computer Science; Business</x:v>
      </x:c>
      <x:c r="O116" s="90" t="n">
        <x:v>354</x:v>
      </x:c>
      <x:c r="P116" s="90" t="n">
        <x:v>254</x:v>
      </x:c>
      <x:c r="Q116" s="86" t="str">
        <x:v>closed</x:v>
      </x:c>
      <x:c r="R116" s="87" t="b">
        <x:v>0</x:v>
      </x:c>
      <x:c r="S116" s="88" t="str">
        <x:v>https://www.elsevier.com/tdm/userlicense/1.0/; https://www.elsevier.com/legal/tdmrep-license</x:v>
      </x:c>
      <x:c r="T116" s="88" t="str">
        <x:v>Publication matched, but no lawful direct open-access PDF was found</x:v>
      </x:c>
      <x:c r="U116" s="88" t="str">
        <x:v>matched_no_oa_pdf</x:v>
      </x:c>
      <x:c r="V116" s="88" t="str">
        <x:v>High</x:v>
      </x:c>
      <x:c r="W116" s="88" t="str">
        <x:v>DOI resolved in Crossref</x:v>
      </x:c>
      <x:c r="X116" s="88" t="str">
        <x:v>https://doi.org/10.1016/j.compag.2020.105441</x:v>
      </x:c>
      <x:c r="Y116" s="88" t="str">
        <x:v>https://openalex.org/W3022538632</x:v>
      </x:c>
      <x:c r="Z116" s="88" t="str">
        <x:v>https://www.semanticscholar.org/paper/d53d3a89481f745757f720ccc789f358214902ca</x:v>
      </x:c>
      <x:c r="AA116" s="88" t="str">
        <x:v>A review on monitoring and advanced control strategies for precision irrigation</x:v>
      </x:c>
      <x:c r="AB116" s="88" t="str">
        <x:v>10.1016/j.compag.2020.105441</x:v>
      </x:c>
      <x:c r="AC116" s="88" t="str">
        <x:v>article</x:v>
      </x:c>
      <x:c r="AD116" s="88" t="str"/>
    </x:row>
    <x:row r="117" ht="48" customHeight="1">
      <x:c r="A117" s="89" t="n">
        <x:v>116</x:v>
      </x:c>
      <x:c r="B117" s="86" t="str">
        <x:v>garrido2018mediterranean</x:v>
      </x:c>
      <x:c r="C117" s="88" t="str">
        <x:v>Adaptation strategies for agricultural water management under climate change in Europe</x:v>
      </x:c>
      <x:c r="D117" s="88" t="str">
        <x:v>Ana Iglesias; Luis Garrote</x:v>
      </x:c>
      <x:c r="E117" s="89" t="n">
        <x:v>2015</x:v>
      </x:c>
      <x:c r="F117" s="88" t="str">
        <x:v>Agricultural Water Management</x:v>
      </x:c>
      <x:c r="G117" s="88" t="str">
        <x:v>Elsevier BV</x:v>
      </x:c>
      <x:c r="H117" s="88" t="str">
        <x:v>journal-article</x:v>
      </x:c>
      <x:c r="I117" s="86" t="str">
        <x:v>10.1016/j.agwat.2015.03.014</x:v>
      </x:c>
      <x:c r="J117" s="86" t="str">
        <x:v>https://doi.org/10.1016/j.agwat.2015.03.014</x:v>
      </x:c>
      <x:c r="K117" s="88" t="str">
        <x:v>Climate change is expected to intensify the existing risks, particularly in regions where water scarcity is already a concern, as well as create new opportunities in some areas. Efforts to develop adaptation strategies for agricultural water management can benefit from understanding the risks and adaptation strategies proposed to date. This understanding may assist in developing priorities for the adaptation of water resources for irrigation. Here we characterise the main risks across European regions and evaluate adaptation strategies by reviewing over 168 highly relevant publications that appeared in the last 15 years. Based on this extensive database we characterise the effort and benefit of a number of agronomic and policy measures, aiming to develop concrete adaptation plans and responding to concrete regional challenges. The adaptation choices consider current technological perspectives and do not project future technological change; we are certain that technological change will shape some choices for adaptation in the coming decades. The greatest scope for action is in improving adaptive capacity and responding to changes in water demands, however the implementation requires revamping current water policy, adequate training to farmers and viable financial instruments. These results aim to assist stakeholders as they take up the adaptation challenge and develop measures to reduce the vulnerability of the sector to climate change.</x:v>
      </x:c>
      <x:c r="L117" s="88" t="str">
        <x:v>Available</x:v>
      </x:c>
      <x:c r="M117" s="88" t="str">
        <x:v>OpenAlex</x:v>
      </x:c>
      <x:c r="N117" s="88" t="str">
        <x:v>Climate change impacts on agriculture; Hydrology and Watershed Management Studies; Water resources management and optimization; Business</x:v>
      </x:c>
      <x:c r="O117" s="90" t="n">
        <x:v>488</x:v>
      </x:c>
      <x:c r="P117" s="90" t="n">
        <x:v>169</x:v>
      </x:c>
      <x:c r="Q117" s="86" t="str">
        <x:v>hybrid</x:v>
      </x:c>
      <x:c r="R117" s="87" t="b">
        <x:v>1</x:v>
      </x:c>
      <x:c r="S117" s="88" t="str">
        <x:v>https://www.elsevier.com/tdm/userlicense/1.0/; https://www.elsevier.com/legal/tdmrep-license; http://creativecommons.org/licenses/by-nc-nd/4.0/</x:v>
      </x:c>
      <x:c r="T117" s="88" t="str">
        <x:v>Publication matched; an OA landing page or metadata record was found, but no downloadable PDF was retrieved</x:v>
      </x:c>
      <x:c r="U117" s="88" t="str">
        <x:v>matched</x:v>
      </x:c>
      <x:c r="V117" s="88" t="str">
        <x:v>High</x:v>
      </x:c>
      <x:c r="W117" s="88" t="str">
        <x:v>DOI resolved in Crossref</x:v>
      </x:c>
      <x:c r="X117" s="88" t="str">
        <x:v>https://doi.org/10.1016/j.agwat.2015.03.014</x:v>
      </x:c>
      <x:c r="Y117" s="88" t="str">
        <x:v>https://openalex.org/W2045421681</x:v>
      </x:c>
      <x:c r="Z117" s="88" t="str">
        <x:v>https://www.semanticscholar.org/paper/85244d727bfc632e9037b9c0245b8878d3bf5eee</x:v>
      </x:c>
      <x:c r="AA117" s="88" t="str">
        <x:v>Adaptation strategies for agricultural water management under climate change in Europe</x:v>
      </x:c>
      <x:c r="AB117" s="88" t="str">
        <x:v>10.1016/j.agwat.2015.03.014</x:v>
      </x:c>
      <x:c r="AC117" s="88" t="str">
        <x:v>article</x:v>
      </x:c>
      <x:c r="AD117" s="88" t="str">
        <x:v>Open-access landing page found, but no direct PDF URL</x:v>
      </x:c>
    </x:row>
    <x:row r="118" ht="48" customHeight="1">
      <x:c r="A118" s="89" t="n">
        <x:v>117</x:v>
      </x:c>
      <x:c r="B118" s="86" t="str">
        <x:v>adeloye2021tunisiaAgro</x:v>
      </x:c>
      <x:c r="C118" s="88" t="str">
        <x:v>Deficit irrigation for reducing agricultural water use</x:v>
      </x:c>
      <x:c r="D118" s="88" t="str">
        <x:v>E. Fereres; M. A. Soriano</x:v>
      </x:c>
      <x:c r="E118" s="89" t="n">
        <x:v>2006</x:v>
      </x:c>
      <x:c r="F118" s="88" t="str">
        <x:v>Journal of Experimental Botany</x:v>
      </x:c>
      <x:c r="G118" s="88" t="str">
        <x:v>Oxford University Press (OUP)</x:v>
      </x:c>
      <x:c r="H118" s="88" t="str">
        <x:v>journal-article</x:v>
      </x:c>
      <x:c r="I118" s="86" t="str">
        <x:v>10.1093/jxb/erl165</x:v>
      </x:c>
      <x:c r="J118" s="86" t="str">
        <x:v>https://doi.org/10.1093/jxb/erl165</x:v>
      </x:c>
      <x:c r="K118" s="88" t="str">
        <x:v>At present and more so in the future, irrigated agriculture will take place under water scarcity. Insufficient water supply for irrigation will be the norm rather than the exception, and irrigation management will shift from emphasizing production per unit area towards maximizing the production per unit of water consumed, the water productivity. To cope with scarce supplies, deficit irrigation, defined as the application of water below full crop-water requirements (evapotranspiration), is an important tool to achieve the goal of reducing irrigation water use. While deficit irrigation is widely practised over millions of hectares for a number of reasons - from inadequate network design to excessive irrigation expansion relative to catchment supplies - it has not received sufficient attention in research. Its use in reducing water consumption for biomass production, and for irrigation of annual and perennial crops is reviewed here. There is potential for improving water productivity in many field crops and there is sufficient information for defining the best deficit irrigation strategy for many situations. One conclusion is that the level of irrigation supply under deficit irrigation should be relatively high in most cases, one that permits achieving 60-100% of full evapotranspiration. Several cases on the successful use of regulated deficit irrigation (RDI) in fruit trees and vines are reviewed, showing that RDI not only increases water productivity, but also farmers' profits. Research linking the physiological basis of these responses to the design of RDI strategies is likely to have a significant impact in increasing its adoption in water-limited areas.</x:v>
      </x:c>
      <x:c r="L118" s="88" t="str">
        <x:v>Available</x:v>
      </x:c>
      <x:c r="M118" s="88" t="str">
        <x:v>OpenAlex</x:v>
      </x:c>
      <x:c r="N118" s="88" t="str">
        <x:v>Plant Water Relations and Carbon Dynamics; Irrigation Practices and Water Management; Greenhouse Technology and Climate Control; Environmental Science; Medicine</x:v>
      </x:c>
      <x:c r="O118" s="90" t="n">
        <x:v>1450</x:v>
      </x:c>
      <x:c r="P118" s="90" t="n">
        <x:v>0</x:v>
      </x:c>
      <x:c r="Q118" s="86" t="str">
        <x:v>closed</x:v>
      </x:c>
      <x:c r="R118" s="87" t="b">
        <x:v>0</x:v>
      </x:c>
      <x:c r="S118" s="88" t="str"/>
      <x:c r="T118" s="88" t="str">
        <x:v>Publication matched, but no lawful direct open-access PDF was found</x:v>
      </x:c>
      <x:c r="U118" s="88" t="str">
        <x:v>matched_no_oa_pdf</x:v>
      </x:c>
      <x:c r="V118" s="88" t="str">
        <x:v>High</x:v>
      </x:c>
      <x:c r="W118" s="88" t="str">
        <x:v>DOI resolved in Crossref</x:v>
      </x:c>
      <x:c r="X118" s="88" t="str">
        <x:v>https://doi.org/10.1093/jxb/erl165</x:v>
      </x:c>
      <x:c r="Y118" s="88" t="str">
        <x:v>https://openalex.org/W2144260204</x:v>
      </x:c>
      <x:c r="Z118" s="88" t="str">
        <x:v>https://www.semanticscholar.org/paper/3626a7d0264ed273d34417805055506188f947a9</x:v>
      </x:c>
      <x:c r="AA118" s="88" t="str">
        <x:v>Deficit irrigation for reducing agricultural water use</x:v>
      </x:c>
      <x:c r="AB118" s="88" t="str">
        <x:v>10.1093/jxb/erl165</x:v>
      </x:c>
      <x:c r="AC118" s="88" t="str">
        <x:v>article</x:v>
      </x:c>
      <x:c r="AD118" s="88" t="str"/>
    </x:row>
    <x:row r="119" ht="48" customHeight="1">
      <x:c r="A119" s="89" t="n">
        <x:v>118</x:v>
      </x:c>
      <x:c r="B119" s="86" t="str">
        <x:v>owusu2025iotAgri</x:v>
      </x:c>
      <x:c r="C119" s="88" t="str">
        <x:v>Blockchain‐Empowered H‐CPS Architecture for Smart Agriculture</x:v>
      </x:c>
      <x:c r="D119" s="88" t="str">
        <x:v>Xiaoding Wang; Qibin Wu; Haitao Zeng; Xu Yang; Hui Cui; Xun Yi; Md. Jalil Piran; Ming Luo; Youxiong Que</x:v>
      </x:c>
      <x:c r="E119" s="89" t="n">
        <x:v>2025</x:v>
      </x:c>
      <x:c r="F119" s="88" t="str">
        <x:v>Advanced Science</x:v>
      </x:c>
      <x:c r="G119" s="88" t="str">
        <x:v>Wiley</x:v>
      </x:c>
      <x:c r="H119" s="88" t="str">
        <x:v>journal-article</x:v>
      </x:c>
      <x:c r="I119" s="86" t="str">
        <x:v>10.1002/advs.202503102</x:v>
      </x:c>
      <x:c r="J119" s="86" t="str">
        <x:v>https://doi.org/10.1002/advs.202503102</x:v>
      </x:c>
      <x:c r="K119" s="88" t="str">
        <x:v>Abstract This study integrates blockchain technology into smart agriculture to enhance its productivity and sustainability. By combining blockchain with remote sensing, artificial intelligence (AI), and the Internet of Things (IoT), a Human‐Cyber‐Physical System (H‐CPS) architecture tailored for agricultural applications is proposed. It supports real‐time crop management, data‐driven decision‐making, and transparent trading of agricultural products. A semantic‐based blockchain framework is introduced to address challenges in data management and AI model integration, optimizing production, improving traceability, reducing costs, and enhancing financial security. This framework directly addresses real‐world agricultural challenges, such as optimized irrigation, improved crop breeding efficiency, and enhanced supply chain transparency. These innovations provide practical solutions for modern agriculture, contributing to sustainable development and global food security. Further research and collaboration are encouraged to unlock its full potential in transforming agricultural practices.</x:v>
      </x:c>
      <x:c r="L119" s="88" t="str">
        <x:v>Available</x:v>
      </x:c>
      <x:c r="M119" s="88" t="str">
        <x:v>Crossref</x:v>
      </x:c>
      <x:c r="N119" s="88" t="str">
        <x:v>Blockchain Technology Applications and Security; Smart Agriculture and AI; IoT and Edge/Fog Computing; Medicine</x:v>
      </x:c>
      <x:c r="O119" s="90" t="n">
        <x:v>21</x:v>
      </x:c>
      <x:c r="P119" s="90" t="n">
        <x:v>133</x:v>
      </x:c>
      <x:c r="Q119" s="86" t="str">
        <x:v>gold</x:v>
      </x:c>
      <x:c r="R119" s="87" t="b">
        <x:v>1</x:v>
      </x:c>
      <x:c r="S119" s="88" t="str">
        <x:v>http://creativecommons.org/licenses/by/4.0/; http://doi.wiley.com/10.1002/tdm_license_1.1</x:v>
      </x:c>
      <x:c r="T119" s="88" t="str">
        <x:v>Publication matched; an OA landing page or metadata record was found, but no downloadable PDF was retrieved</x:v>
      </x:c>
      <x:c r="U119" s="88" t="str">
        <x:v>matched</x:v>
      </x:c>
      <x:c r="V119" s="88" t="str">
        <x:v>High</x:v>
      </x:c>
      <x:c r="W119" s="88" t="str">
        <x:v>DOI resolved in Crossref</x:v>
      </x:c>
      <x:c r="X119" s="88" t="str">
        <x:v>https://doi.org/10.1002/advs.202503102</x:v>
      </x:c>
      <x:c r="Y119" s="88" t="str">
        <x:v>https://openalex.org/W4409794853</x:v>
      </x:c>
      <x:c r="Z119" s="88" t="str">
        <x:v>https://www.semanticscholar.org/paper/f23b101ef3704fa66d468d5d9b84db535d16f66c</x:v>
      </x:c>
      <x:c r="AA119" s="88" t="str">
        <x:v>Blockchain-Empowered H-CPS Architecture for Smart Agriculture</x:v>
      </x:c>
      <x:c r="AB119" s="88" t="str">
        <x:v>10.1002/advs.202503102</x:v>
      </x:c>
      <x:c r="AC119" s="88" t="str">
        <x:v>article</x:v>
      </x:c>
      <x:c r="AD119" s="88" t="str">
        <x:v>OA location did not return a PDF</x:v>
      </x:c>
    </x:row>
    <x:row r="120" ht="48" customHeight="1">
      <x:c r="A120" s="89" t="n">
        <x:v>119</x:v>
      </x:c>
      <x:c r="B120" s="86" t="str">
        <x:v>rahman2019agriSecurity</x:v>
      </x:c>
      <x:c r="C120" s="88" t="str">
        <x:v>Evaluating Critical Security Issues of the IoT World: Present and Future Challenges</x:v>
      </x:c>
      <x:c r="D120" s="88" t="str">
        <x:v>Mario Frustaci; Pasquale Pace; Gianluca Aloi; Giancarlo Fortino</x:v>
      </x:c>
      <x:c r="E120" s="89" t="n">
        <x:v>2018</x:v>
      </x:c>
      <x:c r="F120" s="88" t="str">
        <x:v>IEEE Internet of Things Journal</x:v>
      </x:c>
      <x:c r="G120" s="88" t="str">
        <x:v>Institute of Electrical and Electronics Engineers (IEEE)</x:v>
      </x:c>
      <x:c r="H120" s="88" t="str">
        <x:v>journal-article</x:v>
      </x:c>
      <x:c r="I120" s="86" t="str">
        <x:v>10.1109/jiot.2017.2767291</x:v>
      </x:c>
      <x:c r="J120" s="86" t="str">
        <x:v>https://doi.org/10.1109/jiot.2017.2767291</x:v>
      </x:c>
      <x:c r="K120" s="88" t="str">
        <x:v>Social Internet of Things (SIoT) is a new paradigm where Internet of Things (IoT) merges with social networks, allowing people and devices to interact, and facilitating information sharing. However, security and privacy issues are a great challenge for IoT but they are also enabling factors to create a “trust ecosystem.” In fact, the intrinsic vulnerabilities of IoT devices, with limited resources and heterogeneous technologies, together with the lack of specifically designed IoT standards, represent a fertile ground for the expansion of specific cyber threats. In this paper, we try to bring order on the IoT security panorama providing a taxonomic analysis from the perspective of the three main key layers of the IoT system model: 1) perception; 2) transportation; and 3) application levels. As a result of the analysis, we will highlight the most critical issues with the aim of guiding future research directions.</x:v>
      </x:c>
      <x:c r="L120" s="88" t="str">
        <x:v>Available</x:v>
      </x:c>
      <x:c r="M120" s="88" t="str">
        <x:v>OpenAlex</x:v>
      </x:c>
      <x:c r="N120" s="88" t="str">
        <x:v>IoT and Edge/Fog Computing; Advanced Malware Detection Techniques; Blockchain Technology Applications and Security; Computer Science</x:v>
      </x:c>
      <x:c r="O120" s="90" t="n">
        <x:v>617</x:v>
      </x:c>
      <x:c r="P120" s="90" t="n">
        <x:v>55</x:v>
      </x:c>
      <x:c r="Q120" s="86" t="str">
        <x:v>green</x:v>
      </x:c>
      <x:c r="R120" s="87" t="b">
        <x:v>1</x:v>
      </x:c>
      <x:c r="S120" s="88" t="str">
        <x:v>https://ieeexplore.ieee.org/Xplorehelp/downloads/license-information/IEEE.html</x:v>
      </x:c>
      <x:c r="T120" s="88" t="str">
        <x:v>Publication matched; an OA landing page or metadata record was found, but no downloadable PDF was retrieved</x:v>
      </x:c>
      <x:c r="U120" s="88" t="str">
        <x:v>matched</x:v>
      </x:c>
      <x:c r="V120" s="88" t="str">
        <x:v>High</x:v>
      </x:c>
      <x:c r="W120" s="88" t="str">
        <x:v>DOI resolved in Crossref</x:v>
      </x:c>
      <x:c r="X120" s="88" t="str">
        <x:v>https://doi.org/10.1109/jiot.2017.2767291</x:v>
      </x:c>
      <x:c r="Y120" s="88" t="str">
        <x:v>https://openalex.org/W2765739766</x:v>
      </x:c>
      <x:c r="Z120" s="88" t="str">
        <x:v>https://www.semanticscholar.org/paper/6d464bd9075daaa88e8aba1fca56e7ce74dd43c3</x:v>
      </x:c>
      <x:c r="AA120" s="88" t="str">
        <x:v>Evaluating Critical Security Issues of the IoT World: Present and Future Challenges</x:v>
      </x:c>
      <x:c r="AB120" s="88" t="str">
        <x:v>10.1109/jiot.2017.2767291</x:v>
      </x:c>
      <x:c r="AC120" s="88" t="str">
        <x:v>article</x:v>
      </x:c>
      <x:c r="AD120" s="88" t="str">
        <x:v>Open-access landing page found, but no direct PDF URL</x:v>
      </x:c>
    </x:row>
    <x:row r="121" ht="48" customHeight="1">
      <x:c r="A121" s="89" t="n">
        <x:v>120</x:v>
      </x:c>
      <x:c r="B121" s="86" t="str">
        <x:v>arshad2022blockchainBenefits</x:v>
      </x:c>
      <x:c r="C121" s="88" t="str">
        <x:v>A review of wireless sensors and networks' applications in agriculture</x:v>
      </x:c>
      <x:c r="D121" s="88" t="str">
        <x:v>Aqeel-ur-Rehman; Abu Zafar Abbasi; Noman Islam; Zubair Ahmed Shaikh</x:v>
      </x:c>
      <x:c r="E121" s="89" t="n">
        <x:v>2014</x:v>
      </x:c>
      <x:c r="F121" s="88" t="str">
        <x:v>Computer Standards &amp;amp; Interfaces</x:v>
      </x:c>
      <x:c r="G121" s="88" t="str">
        <x:v>Elsevier BV</x:v>
      </x:c>
      <x:c r="H121" s="88" t="str">
        <x:v>journal-article</x:v>
      </x:c>
      <x:c r="I121" s="86" t="str">
        <x:v>10.1016/j.csi.2011.03.004</x:v>
      </x:c>
      <x:c r="J121" s="86" t="str">
        <x:v>https://doi.org/10.1016/j.csi.2011.03.004</x:v>
      </x:c>
      <x:c r="K121" s="88" t="str"/>
      <x:c r="L121" s="88" t="str">
        <x:v>Not found in Crossref/OpenAlex/Semantic Scholar</x:v>
      </x:c>
      <x:c r="M121" s="88" t="str"/>
      <x:c r="N121" s="88" t="str">
        <x:v>Energy Efficient Wireless Sensor Networks; IoT-based Smart Home Systems; Water Quality Monitoring Technologies; Computer Science</x:v>
      </x:c>
      <x:c r="O121" s="90" t="n">
        <x:v>576</x:v>
      </x:c>
      <x:c r="P121" s="90" t="n">
        <x:v>45</x:v>
      </x:c>
      <x:c r="Q121" s="86" t="str">
        <x:v>closed</x:v>
      </x:c>
      <x:c r="R121" s="87" t="b">
        <x:v>0</x:v>
      </x:c>
      <x:c r="S121" s="88" t="str"/>
      <x:c r="T121" s="88" t="str">
        <x:v>Publication matched, but no lawful direct open-access PDF was found</x:v>
      </x:c>
      <x:c r="U121" s="88" t="str">
        <x:v>matched_no_oa_pdf</x:v>
      </x:c>
      <x:c r="V121" s="88" t="str">
        <x:v>High</x:v>
      </x:c>
      <x:c r="W121" s="88" t="str">
        <x:v>DOI resolved in Crossref</x:v>
      </x:c>
      <x:c r="X121" s="88" t="str">
        <x:v>https://doi.org/10.1016/j.csi.2011.03.004</x:v>
      </x:c>
      <x:c r="Y121" s="88" t="str">
        <x:v>https://openalex.org/W2021973007</x:v>
      </x:c>
      <x:c r="Z121" s="88" t="str">
        <x:v>https://www.semanticscholar.org/paper/16e6b778046c509e19632fbdabc3588a8246f24e</x:v>
      </x:c>
      <x:c r="AA121" s="88" t="str">
        <x:v>A review of wireless sensors and networks' applications in agriculture</x:v>
      </x:c>
      <x:c r="AB121" s="88" t="str">
        <x:v>10.1016/j.csi.2011.03.004</x:v>
      </x:c>
      <x:c r="AC121" s="88" t="str">
        <x:v>article</x:v>
      </x:c>
      <x:c r="AD121" s="88" t="str"/>
    </x:row>
    <x:row r="122" ht="48" customHeight="1">
      <x:c r="A122" s="89" t="n">
        <x:v>121</x:v>
      </x:c>
      <x:c r="B122" s="86" t="str">
        <x:v>fernandez2024iotTamper</x:v>
      </x:c>
      <x:c r="C122" s="88" t="str">
        <x:v>A Digital Signature Based on a Conventional Encryption Function</x:v>
      </x:c>
      <x:c r="D122" s="88" t="str">
        <x:v>Ralph C. Merkle</x:v>
      </x:c>
      <x:c r="E122" s="89" t="n">
        <x:v>1988</x:v>
      </x:c>
      <x:c r="F122" s="88" t="str">
        <x:v>Lecture Notes in Computer Science</x:v>
      </x:c>
      <x:c r="G122" s="88" t="str">
        <x:v>Springer Berlin Heidelberg</x:v>
      </x:c>
      <x:c r="H122" s="88" t="str">
        <x:v>book-chapter</x:v>
      </x:c>
      <x:c r="I122" s="86" t="str">
        <x:v>10.1007/3-540-48184-2_32</x:v>
      </x:c>
      <x:c r="J122" s="86" t="str">
        <x:v>https://doi.org/10.1007/3-540-48184-2_32</x:v>
      </x:c>
      <x:c r="K122" s="88" t="str"/>
      <x:c r="L122" s="88" t="str">
        <x:v>Not available; source may not be a journal paper</x:v>
      </x:c>
      <x:c r="M122" s="88" t="str"/>
      <x:c r="N122" s="88" t="str">
        <x:v>Chaos-based Image/Signal Encryption; Cryptography and Data Security; Cryptographic Implementations and Security; Mathematics; Computer Science</x:v>
      </x:c>
      <x:c r="O122" s="90" t="n">
        <x:v>911</x:v>
      </x:c>
      <x:c r="P122" s="90" t="n">
        <x:v>10</x:v>
      </x:c>
      <x:c r="Q122" s="86" t="str">
        <x:v>closed</x:v>
      </x:c>
      <x:c r="R122" s="87" t="b">
        <x:v>0</x:v>
      </x:c>
      <x:c r="S122" s="88" t="str"/>
      <x:c r="T122" s="88" t="str">
        <x:v>Publication matched, but no lawful direct open-access PDF was found</x:v>
      </x:c>
      <x:c r="U122" s="88" t="str">
        <x:v>matched_no_oa_pdf</x:v>
      </x:c>
      <x:c r="V122" s="88" t="str">
        <x:v>High</x:v>
      </x:c>
      <x:c r="W122" s="88" t="str">
        <x:v>DOI resolved in Crossref</x:v>
      </x:c>
      <x:c r="X122" s="88" t="str">
        <x:v>https://doi.org/10.1007/3-540-48184-2_32</x:v>
      </x:c>
      <x:c r="Y122" s="88" t="str">
        <x:v>https://openalex.org/W1600255172</x:v>
      </x:c>
      <x:c r="Z122" s="88" t="str">
        <x:v>https://www.semanticscholar.org/paper/5bcd990b11e068234c3a13b021f3266bb45a2964</x:v>
      </x:c>
      <x:c r="AA122" s="88" t="str">
        <x:v>A Digital Signature Based on a Conventional Encryption Function</x:v>
      </x:c>
      <x:c r="AB122" s="88" t="str">
        <x:v>10.1007/3-540-48184-2_32</x:v>
      </x:c>
      <x:c r="AC122" s="88" t="str">
        <x:v>article</x:v>
      </x:c>
      <x:c r="AD122" s="88" t="str"/>
    </x:row>
    <x:row r="123" ht="48" customHeight="1">
      <x:c r="A123" s="89" t="n">
        <x:v>122</x:v>
      </x:c>
      <x:c r="B123" s="86" t="str">
        <x:v>jayaram2023hyperledger</x:v>
      </x:c>
      <x:c r="C123" s="88" t="str">
        <x:v>Hyperledger fabric</x:v>
      </x:c>
      <x:c r="D123" s="88" t="str">
        <x:v>Elli Androulaki; Artem Barger; Vita Bortnikov; Christian Cachin; Konstantinos Christidis; Angelo De Caro; David Enyeart; Christopher Ferris; Gennady Laventman; Yacov Manevich; Srinivasan Muralidharan; Chet Murthy; Binh Nguyen; Manish Sethi; Gari Singh; Keith Smith; Alessandro Sorniotti; Chrysoula Stathakopoulou; Marko Vukolić; Sharon Weed Cocco; Jason Yellick</x:v>
      </x:c>
      <x:c r="E123" s="89" t="n">
        <x:v>2018</x:v>
      </x:c>
      <x:c r="F123" s="88" t="str">
        <x:v>Proceedings of the Thirteenth EuroSys Conference</x:v>
      </x:c>
      <x:c r="G123" s="88" t="str">
        <x:v>ACM</x:v>
      </x:c>
      <x:c r="H123" s="88" t="str">
        <x:v>proceedings-article</x:v>
      </x:c>
      <x:c r="I123" s="86" t="str">
        <x:v>10.1145/3190508.3190538</x:v>
      </x:c>
      <x:c r="J123" s="86" t="str">
        <x:v>https://doi.org/10.1145/3190508.3190538</x:v>
      </x:c>
      <x:c r="K123" s="88" t="str">
        <x:v>Fabric is a modular and extensible open-source system for deploying and operating permissioned blockchains and one of the Hyperledger projects hosted by the Linux Foundation (www.hyperledger.org).</x:v>
      </x:c>
      <x:c r="L123" s="88" t="str">
        <x:v>Available</x:v>
      </x:c>
      <x:c r="M123" s="88" t="str">
        <x:v>OpenAlex</x:v>
      </x:c>
      <x:c r="N123" s="88" t="str">
        <x:v>Blockchain Technology Applications and Security; Distributed systems and fault tolerance; Security and Verification in Computing; Computer Science</x:v>
      </x:c>
      <x:c r="O123" s="90" t="n">
        <x:v>3400</x:v>
      </x:c>
      <x:c r="P123" s="90" t="n">
        <x:v>58</x:v>
      </x:c>
      <x:c r="Q123" s="86" t="str">
        <x:v>gold</x:v>
      </x:c>
      <x:c r="R123" s="87" t="b">
        <x:v>1</x:v>
      </x:c>
      <x:c r="S123" s="88" t="str">
        <x:v>https://www.acm.org/publications/policies/copyright_policy#Background</x:v>
      </x:c>
      <x:c r="T123" s="88" t="str">
        <x:v>Publication matched; an OA landing page or metadata record was found, but no downloadable PDF was retrieved</x:v>
      </x:c>
      <x:c r="U123" s="88" t="str">
        <x:v>matched</x:v>
      </x:c>
      <x:c r="V123" s="88" t="str">
        <x:v>High</x:v>
      </x:c>
      <x:c r="W123" s="88" t="str">
        <x:v>DOI resolved in Crossref</x:v>
      </x:c>
      <x:c r="X123" s="88" t="str">
        <x:v>https://doi.org/10.1145/3190508.3190538</x:v>
      </x:c>
      <x:c r="Y123" s="88" t="str">
        <x:v>https://openalex.org/W4300127641</x:v>
      </x:c>
      <x:c r="Z123" s="88" t="str">
        <x:v>https://www.semanticscholar.org/paper/1b4c39ba447e8098291e47fd5da32ca650f41181</x:v>
      </x:c>
      <x:c r="AA123" s="88" t="str">
        <x:v>Hyperledger Fabric: A Distributed Operating System for Permissioned Blockchains</x:v>
      </x:c>
      <x:c r="AB123" s="88" t="str">
        <x:v>10.1145/3190508.3190538</x:v>
      </x:c>
      <x:c r="AC123" s="88" t="str">
        <x:v>inproceedings</x:v>
      </x:c>
      <x:c r="AD123" s="88" t="str">
        <x:v>OA location did not return a PDF</x:v>
      </x:c>
    </x:row>
    <x:row r="124" ht="48" customHeight="1">
      <x:c r="A124" s="89" t="n">
        <x:v>123</x:v>
      </x:c>
      <x:c r="B124" s="86" t="str">
        <x:v>yang2021iotSensing</x:v>
      </x:c>
      <x:c r="C124" s="88" t="str">
        <x:v>Internet of Things in agriculture, recent advances and future challenges</x:v>
      </x:c>
      <x:c r="D124" s="88" t="str">
        <x:v>Antonis Tzounis; Nikolaos Katsoulas; Thomas Bartzanas; Constantinos Kittas</x:v>
      </x:c>
      <x:c r="E124" s="89" t="n">
        <x:v>2017</x:v>
      </x:c>
      <x:c r="F124" s="88" t="str">
        <x:v>Biosystems Engineering</x:v>
      </x:c>
      <x:c r="G124" s="88" t="str">
        <x:v>Elsevier BV</x:v>
      </x:c>
      <x:c r="H124" s="88" t="str">
        <x:v>journal-article</x:v>
      </x:c>
      <x:c r="I124" s="86" t="str">
        <x:v>10.1016/j.biosystemseng.2017.09.007</x:v>
      </x:c>
      <x:c r="J124" s="86" t="str">
        <x:v>https://doi.org/10.1016/j.biosystemseng.2017.09.007</x:v>
      </x:c>
      <x:c r="K124" s="88" t="str"/>
      <x:c r="L124" s="88" t="str">
        <x:v>Not found in Crossref/OpenAlex/Semantic Scholar</x:v>
      </x:c>
      <x:c r="M124" s="88" t="str"/>
      <x:c r="N124" s="88" t="str">
        <x:v>IoT and Edge/Fog Computing; Smart Agriculture and AI; Water Quality Monitoring Technologies; Engineering</x:v>
      </x:c>
      <x:c r="O124" s="90" t="n">
        <x:v>834</x:v>
      </x:c>
      <x:c r="P124" s="90" t="n">
        <x:v>144</x:v>
      </x:c>
      <x:c r="Q124" s="86" t="str">
        <x:v>closed</x:v>
      </x:c>
      <x:c r="R124" s="87" t="b">
        <x:v>0</x:v>
      </x:c>
      <x:c r="S124" s="88" t="str">
        <x:v>https://www.elsevier.com/tdm/userlicense/1.0/; https://www.elsevier.com/legal/tdmrep-license</x:v>
      </x:c>
      <x:c r="T124" s="88" t="str">
        <x:v>Publication matched, but no lawful direct open-access PDF was found</x:v>
      </x:c>
      <x:c r="U124" s="88" t="str">
        <x:v>matched_no_oa_pdf</x:v>
      </x:c>
      <x:c r="V124" s="88" t="str">
        <x:v>High</x:v>
      </x:c>
      <x:c r="W124" s="88" t="str">
        <x:v>DOI resolved in Crossref</x:v>
      </x:c>
      <x:c r="X124" s="88" t="str">
        <x:v>https://doi.org/10.1016/j.biosystemseng.2017.09.007</x:v>
      </x:c>
      <x:c r="Y124" s="88" t="str">
        <x:v>https://openalex.org/W2771058985</x:v>
      </x:c>
      <x:c r="Z124" s="88" t="str">
        <x:v>https://www.semanticscholar.org/paper/c7d243d0d1efee259ce533fd394d3d53e27e8c8a</x:v>
      </x:c>
      <x:c r="AA124" s="88" t="str">
        <x:v>Internet of Things in agriculture, recent advances and future challenges</x:v>
      </x:c>
      <x:c r="AB124" s="88" t="str">
        <x:v>10.1016/j.biosystemseng.2017.09.007</x:v>
      </x:c>
      <x:c r="AC124" s="88" t="str">
        <x:v>article</x:v>
      </x:c>
      <x:c r="AD124" s="88" t="str"/>
    </x:row>
    <x:row r="125" ht="48" customHeight="1">
      <x:c r="A125" s="89" t="n">
        <x:v>124</x:v>
      </x:c>
      <x:c r="B125" s="86" t="str">
        <x:v>saito2025blockchainWaterQuality</x:v>
      </x:c>
      <x:c r="C125" s="88" t="str">
        <x:v>Distributed Control Architecture for Blockchain-Based IoT Water Quality Monitoring</x:v>
      </x:c>
      <x:c r="D125" s="88" t="str">
        <x:v>Hung, Le Thanh and Kang, Seungwoo and Song, Jaeseung</x:v>
      </x:c>
      <x:c r="E125" s="89" t="n">
        <x:v>2022</x:v>
      </x:c>
      <x:c r="F125" s="88" t="str">
        <x:v>IEEE Access</x:v>
      </x:c>
      <x:c r="G125" s="88" t="str"/>
      <x:c r="H125" s="88" t="str">
        <x:v>article</x:v>
      </x:c>
      <x:c r="I125" s="86" t="str">
        <x:v>10.1109/access.2022.3208440</x:v>
      </x:c>
      <x:c r="J125" s="86" t="str">
        <x:v>https://doi.org/10.1109/access.2022.3208440</x:v>
      </x:c>
      <x:c r="K125" s="88" t="str"/>
      <x:c r="L125" s="88" t="str">
        <x:v>Not found in Crossref/OpenAlex/Semantic Scholar</x:v>
      </x:c>
      <x:c r="M125" s="88" t="str"/>
      <x:c r="N125" s="88" t="str"/>
      <x:c r="O125" s="90"/>
      <x:c r="P125" s="90"/>
      <x:c r="Q125" s="86" t="str">
        <x:v>unknown</x:v>
      </x:c>
      <x:c r="R125" s="86"/>
      <x:c r="S125" s="88" t="str"/>
      <x:c r="T125" s="88" t="str">
        <x:v>Bibliographic record could not be reliably resolved</x:v>
      </x:c>
      <x:c r="U125" s="88" t="str">
        <x:v>unresolved</x:v>
      </x:c>
      <x:c r="V125" s="88" t="str">
        <x:v>Unverified</x:v>
      </x:c>
      <x:c r="W125" s="88" t="str">
        <x:v>No reliable external match</x:v>
      </x:c>
      <x:c r="X125" s="88" t="str"/>
      <x:c r="Y125" s="88" t="str"/>
      <x:c r="Z125" s="88" t="str"/>
      <x:c r="AA125" s="88" t="str">
        <x:v>Distributed Control Architecture for Blockchain-Based IoT Water Quality Monitoring</x:v>
      </x:c>
      <x:c r="AB125" s="88" t="str">
        <x:v>10.1109/access.2022.3208440</x:v>
      </x:c>
      <x:c r="AC125" s="88" t="str">
        <x:v>article</x:v>
      </x:c>
      <x:c r="AD125" s="88" t="str"/>
    </x:row>
    <x:row r="126" ht="48" customHeight="1">
      <x:c r="A126" s="89" t="n">
        <x:v>125</x:v>
      </x:c>
      <x:c r="B126" s="86" t="str">
        <x:v>garcia2021sensorFailures</x:v>
      </x:c>
      <x:c r="C126" s="88" t="str">
        <x:v>Integration of Cloud computing and Internet of Things: A survey</x:v>
      </x:c>
      <x:c r="D126" s="88" t="str">
        <x:v>Alessio Botta; Walter de Donato; Valerio Persico; Antonio Pescapé</x:v>
      </x:c>
      <x:c r="E126" s="89" t="n">
        <x:v>2016</x:v>
      </x:c>
      <x:c r="F126" s="88" t="str">
        <x:v>Future Generation Computer Systems</x:v>
      </x:c>
      <x:c r="G126" s="88" t="str">
        <x:v>Elsevier BV</x:v>
      </x:c>
      <x:c r="H126" s="88" t="str">
        <x:v>journal-article</x:v>
      </x:c>
      <x:c r="I126" s="86" t="str">
        <x:v>10.1016/j.future.2015.09.021</x:v>
      </x:c>
      <x:c r="J126" s="86" t="str">
        <x:v>https://doi.org/10.1016/j.future.2015.09.021</x:v>
      </x:c>
      <x:c r="K126" s="88" t="str"/>
      <x:c r="L126" s="88" t="str">
        <x:v>Not found in Crossref/OpenAlex/Semantic Scholar</x:v>
      </x:c>
      <x:c r="M126" s="88" t="str"/>
      <x:c r="N126" s="88" t="str">
        <x:v>IoT and Edge/Fog Computing; Cloud Computing and Resource Management; Blockchain Technology Applications and Security; Computer Science</x:v>
      </x:c>
      <x:c r="O126" s="90" t="n">
        <x:v>1928</x:v>
      </x:c>
      <x:c r="P126" s="90" t="n">
        <x:v>135</x:v>
      </x:c>
      <x:c r="Q126" s="86" t="str">
        <x:v>closed</x:v>
      </x:c>
      <x:c r="R126" s="87" t="b">
        <x:v>0</x:v>
      </x:c>
      <x:c r="S126" s="88" t="str">
        <x:v>https://www.elsevier.com/tdm/userlicense/1.0/</x:v>
      </x:c>
      <x:c r="T126" s="88" t="str">
        <x:v>Publication matched, but no lawful direct open-access PDF was found</x:v>
      </x:c>
      <x:c r="U126" s="88" t="str">
        <x:v>matched_no_oa_pdf</x:v>
      </x:c>
      <x:c r="V126" s="88" t="str">
        <x:v>High</x:v>
      </x:c>
      <x:c r="W126" s="88" t="str">
        <x:v>DOI resolved in Crossref</x:v>
      </x:c>
      <x:c r="X126" s="88" t="str">
        <x:v>https://doi.org/10.1016/j.future.2015.09.021</x:v>
      </x:c>
      <x:c r="Y126" s="88" t="str">
        <x:v>https://openalex.org/W1837982953</x:v>
      </x:c>
      <x:c r="Z126" s="88" t="str">
        <x:v>https://www.semanticscholar.org/paper/be78a87bbfc30a540b477087089d106ce2b394f1</x:v>
      </x:c>
      <x:c r="AA126" s="88" t="str">
        <x:v>Integration of Cloud computing and Internet of Things: A survey</x:v>
      </x:c>
      <x:c r="AB126" s="88" t="str">
        <x:v>10.1016/j.future.2015.09.021</x:v>
      </x:c>
      <x:c r="AC126" s="88" t="str">
        <x:v>article</x:v>
      </x:c>
      <x:c r="AD126" s="88" t="str"/>
    </x:row>
    <x:row r="127" ht="48" customHeight="1">
      <x:c r="A127" s="89" t="n">
        <x:v>126</x:v>
      </x:c>
      <x:c r="B127" s="86" t="str">
        <x:v>wei2024autonomousIrrigation</x:v>
      </x:c>
      <x:c r="C127" s="88" t="str">
        <x:v>Advanced process control of irrigation: the current state and an analysis to aid future development</x:v>
      </x:c>
      <x:c r="D127" s="88" t="str">
        <x:v>Alison C. McCarthy; Nigel H. Hancock; Steven R. Raine</x:v>
      </x:c>
      <x:c r="E127" s="89" t="n">
        <x:v>2011</x:v>
      </x:c>
      <x:c r="F127" s="88" t="str">
        <x:v>Irrigation Science</x:v>
      </x:c>
      <x:c r="G127" s="88" t="str">
        <x:v>Springer Science and Business Media LLC</x:v>
      </x:c>
      <x:c r="H127" s="88" t="str">
        <x:v>journal-article</x:v>
      </x:c>
      <x:c r="I127" s="86" t="str">
        <x:v>10.1007/s00271-011-0313-1</x:v>
      </x:c>
      <x:c r="J127" s="86" t="str">
        <x:v>https://doi.org/10.1007/s00271-011-0313-1</x:v>
      </x:c>
      <x:c r="K127" s="88" t="str"/>
      <x:c r="L127" s="88" t="str">
        <x:v>Not found in Crossref/OpenAlex/Semantic Scholar</x:v>
      </x:c>
      <x:c r="M127" s="88" t="str"/>
      <x:c r="N127" s="88" t="str">
        <x:v>Irrigation Practices and Water Management; Soil Moisture and Remote Sensing; Soil and Unsaturated Flow</x:v>
      </x:c>
      <x:c r="O127" s="90" t="n">
        <x:v>38</x:v>
      </x:c>
      <x:c r="P127" s="90" t="n">
        <x:v>62</x:v>
      </x:c>
      <x:c r="Q127" s="86" t="str">
        <x:v>closed</x:v>
      </x:c>
      <x:c r="R127" s="87" t="b">
        <x:v>0</x:v>
      </x:c>
      <x:c r="S127" s="88" t="str">
        <x:v>http://www.springer.com/tdm</x:v>
      </x:c>
      <x:c r="T127" s="88" t="str">
        <x:v>Publication matched, but no lawful direct open-access PDF was found</x:v>
      </x:c>
      <x:c r="U127" s="88" t="str">
        <x:v>matched_no_oa_pdf</x:v>
      </x:c>
      <x:c r="V127" s="88" t="str">
        <x:v>High</x:v>
      </x:c>
      <x:c r="W127" s="88" t="str">
        <x:v>DOI resolved in Crossref</x:v>
      </x:c>
      <x:c r="X127" s="88" t="str">
        <x:v>https://doi.org/10.1007/s00271-011-0313-1</x:v>
      </x:c>
      <x:c r="Y127" s="88" t="str">
        <x:v>https://openalex.org/W2090503001</x:v>
      </x:c>
      <x:c r="Z127" s="88" t="str">
        <x:v>https://www.semanticscholar.org/paper/ebd18976ec8d730b2d8591bc8c935db1cbd08741</x:v>
      </x:c>
      <x:c r="AA127" s="88" t="str">
        <x:v>Advanced process control of irrigation: the current state and an analysis to aid future development</x:v>
      </x:c>
      <x:c r="AB127" s="88" t="str">
        <x:v>10.1007/s00271-011-0313-1</x:v>
      </x:c>
      <x:c r="AC127" s="88" t="str">
        <x:v>article</x:v>
      </x:c>
      <x:c r="AD127" s="88" t="str"/>
    </x:row>
    <x:row r="128" ht="48" customHeight="1">
      <x:c r="A128" s="89" t="n">
        <x:v>127</x:v>
      </x:c>
      <x:c r="B128" s="86" t="str">
        <x:v>liu2021traceableSupply</x:v>
      </x:c>
      <x:c r="C128" s="88" t="str">
        <x:v>Blockchain for agriculture and food : Findings from the pilot study</x:v>
      </x:c>
      <x:c r="D128" s="88" t="str">
        <x:v>Lan Ge; Christopher Brewster; Jacco Spek; Anton Smeenk; Jan Top; Frans van Diepen; Bob Klaase; Conny Graumans; Marieke de Ruyter de Wildt</x:v>
      </x:c>
      <x:c r="E128" s="89" t="n">
        <x:v>2017</x:v>
      </x:c>
      <x:c r="F128" s="88" t="str">
        <x:v>Wageningen Economic Research Report</x:v>
      </x:c>
      <x:c r="G128" s="88" t="str">
        <x:v>Wageningen Economic Research</x:v>
      </x:c>
      <x:c r="H128" s="88" t="str">
        <x:v>report</x:v>
      </x:c>
      <x:c r="I128" s="86" t="str">
        <x:v>10.18174/426747</x:v>
      </x:c>
      <x:c r="J128" s="86" t="str">
        <x:v>https://doi.org/10.18174/426747</x:v>
      </x:c>
      <x:c r="K128" s="88" t="str">
        <x:v>This report documents experiences and findings from the public private partnership (PPP) project 'Blockchain for Agrifood' that was started in March 2017. The project aims to contribute to a better understanding of the blockchain technology (BCT) and its implications for agrifood, especially how it can impact specific aspects of supply chains and what is needed to apply BCT in agrifood chains. A second aim of this project is to conceptualise and develop a proof of concept in an application based on a use case concerning table grapes from South Africa where BCT could be applied. This has been done by building a demonstrator that keeps track of different certificates involved in the table grapes supply chain. The code of this demonstrator is published at Github. 1 Furthermore, the project explored issues regarding the relevance, applicability and implications of BCT for the agrifood sector through literature study and stakeholder consultation.</x:v>
      </x:c>
      <x:c r="L128" s="88" t="str">
        <x:v>Available</x:v>
      </x:c>
      <x:c r="M128" s="88" t="str">
        <x:v>OpenAlex</x:v>
      </x:c>
      <x:c r="N128" s="88" t="str">
        <x:v>Blockchain Technology Applications and Security; Digital Platforms and Economics; Business</x:v>
      </x:c>
      <x:c r="O128" s="90" t="n">
        <x:v>96</x:v>
      </x:c>
      <x:c r="P128" s="90" t="n">
        <x:v>0</x:v>
      </x:c>
      <x:c r="Q128" s="86" t="str">
        <x:v>gold</x:v>
      </x:c>
      <x:c r="R128" s="87" t="b">
        <x:v>1</x:v>
      </x:c>
      <x:c r="S128" s="88" t="str"/>
      <x:c r="T128" s="88" t="str">
        <x:v>Publication matched; an OA landing page or metadata record was found, but no downloadable PDF was retrieved</x:v>
      </x:c>
      <x:c r="U128" s="88" t="str">
        <x:v>matched</x:v>
      </x:c>
      <x:c r="V128" s="88" t="str">
        <x:v>High</x:v>
      </x:c>
      <x:c r="W128" s="88" t="str">
        <x:v>DOI resolved in Crossref</x:v>
      </x:c>
      <x:c r="X128" s="88" t="str">
        <x:v>https://doi.org/10.18174/426747</x:v>
      </x:c>
      <x:c r="Y128" s="88" t="str">
        <x:v>https://openalex.org/W2776587387</x:v>
      </x:c>
      <x:c r="Z128" s="88" t="str">
        <x:v>https://www.semanticscholar.org/paper/e8eeebd53272ae5c7d6534cd7199c7308da5128d</x:v>
      </x:c>
      <x:c r="AA128" s="88" t="str">
        <x:v>Blockchain for agriculture and food: Findings from the pilot study</x:v>
      </x:c>
      <x:c r="AB128" s="88" t="str">
        <x:v>10.18174/426747</x:v>
      </x:c>
      <x:c r="AC128" s="88" t="str">
        <x:v>article</x:v>
      </x:c>
      <x:c r="AD128" s="88" t="str">
        <x:v>OA PDF download failed</x:v>
      </x:c>
    </x:row>
    <x:row r="129" ht="48" customHeight="1">
      <x:c r="A129" s="89" t="n">
        <x:v>128</x:v>
      </x:c>
      <x:c r="B129" s="86" t="str">
        <x:v>miller2020climateImpact</x:v>
      </x:c>
      <x:c r="C129" s="88" t="str">
        <x:v>Effects of grapevine (Vitis vinifera L.) water status on water consumption, vegetative growth and grape quality: An irrigation scheduling application to achieve regulated deficit irrigation</x:v>
      </x:c>
      <x:c r="D129" s="88" t="str">
        <x:v>C. Acevedo-Opazo; S. Ortega-Farias; S. Fuentes</x:v>
      </x:c>
      <x:c r="E129" s="89" t="n">
        <x:v>2010</x:v>
      </x:c>
      <x:c r="F129" s="88" t="str">
        <x:v>Agricultural Water Management</x:v>
      </x:c>
      <x:c r="G129" s="88" t="str">
        <x:v>Elsevier BV</x:v>
      </x:c>
      <x:c r="H129" s="88" t="str">
        <x:v>journal-article</x:v>
      </x:c>
      <x:c r="I129" s="86" t="str">
        <x:v>10.1016/j.agwat.2010.01.025</x:v>
      </x:c>
      <x:c r="J129" s="86" t="str">
        <x:v>https://doi.org/10.1016/j.agwat.2010.01.025</x:v>
      </x:c>
      <x:c r="K129" s="88" t="str"/>
      <x:c r="L129" s="88" t="str">
        <x:v>Not found in Crossref/OpenAlex/Semantic Scholar</x:v>
      </x:c>
      <x:c r="M129" s="88" t="str"/>
      <x:c r="N129" s="88" t="str">
        <x:v>Horticultural and Viticultural Research; Plant Water Relations and Carbon Dynamics; Fermentation and Sensory Analysis; Environmental Science</x:v>
      </x:c>
      <x:c r="O129" s="90" t="n">
        <x:v>210</x:v>
      </x:c>
      <x:c r="P129" s="90" t="n">
        <x:v>50</x:v>
      </x:c>
      <x:c r="Q129" s="86" t="str">
        <x:v>closed</x:v>
      </x:c>
      <x:c r="R129" s="87" t="b">
        <x:v>0</x:v>
      </x:c>
      <x:c r="S129" s="88" t="str">
        <x:v>https://www.elsevier.com/tdm/userlicense/1.0/; https://www.elsevier.com/legal/tdmrep-license</x:v>
      </x:c>
      <x:c r="T129" s="88" t="str">
        <x:v>Publication matched, but no lawful direct open-access PDF was found</x:v>
      </x:c>
      <x:c r="U129" s="88" t="str">
        <x:v>matched_no_oa_pdf</x:v>
      </x:c>
      <x:c r="V129" s="88" t="str">
        <x:v>High</x:v>
      </x:c>
      <x:c r="W129" s="88" t="str">
        <x:v>DOI resolved in Crossref</x:v>
      </x:c>
      <x:c r="X129" s="88" t="str">
        <x:v>https://doi.org/10.1016/j.agwat.2010.01.025</x:v>
      </x:c>
      <x:c r="Y129" s="88" t="str">
        <x:v>https://openalex.org/W1998471192</x:v>
      </x:c>
      <x:c r="Z129" s="88" t="str">
        <x:v>https://www.semanticscholar.org/paper/e7918bcedfbe135624602756e96d5b755ae9fc0e</x:v>
      </x:c>
      <x:c r="AA129" s="88" t="str">
        <x:v>The irrigation of agricultural land in Italy: main economic implications and effects in an ongoing climate change</x:v>
      </x:c>
      <x:c r="AB129" s="88" t="str">
        <x:v>10.1016/j.agwat.2010.01.025</x:v>
      </x:c>
      <x:c r="AC129" s="88" t="str">
        <x:v>article</x:v>
      </x:c>
      <x:c r="AD129" s="88" t="str"/>
    </x:row>
    <x:row r="130" ht="48" customHeight="1">
      <x:c r="A130" s="89" t="n">
        <x:v>129</x:v>
      </x:c>
      <x:c r="B130" s="86" t="str">
        <x:v>debruyne2022trust</x:v>
      </x:c>
      <x:c r="C130" s="88" t="str">
        <x:v>A systematic literature review of blockchain-based applications: Current status, classification and open issues</x:v>
      </x:c>
      <x:c r="D130" s="88" t="str">
        <x:v>Fran Casino; Thomas K. Dasaklis; Constantinos Patsakis</x:v>
      </x:c>
      <x:c r="E130" s="89" t="n">
        <x:v>2019</x:v>
      </x:c>
      <x:c r="F130" s="88" t="str">
        <x:v>Telematics and Informatics</x:v>
      </x:c>
      <x:c r="G130" s="88" t="str">
        <x:v>Elsevier BV</x:v>
      </x:c>
      <x:c r="H130" s="88" t="str">
        <x:v>journal-article</x:v>
      </x:c>
      <x:c r="I130" s="86" t="str">
        <x:v>10.1016/j.tele.2018.11.006</x:v>
      </x:c>
      <x:c r="J130" s="86" t="str">
        <x:v>https://doi.org/10.1016/j.tele.2018.11.006</x:v>
      </x:c>
      <x:c r="K130" s="88" t="str">
        <x:v>This work provides a systematic literature review of blockchain-based applications across multiple domains. The aim is to investigate the current state of blockchain technology and its applications and to highlight how specific characteristics of this disruptive technology can revolutionise “business-as-usual” practices. To this end, the theoretical underpinnings of numerous research papers published in high ranked scientific journals during the last decade, along with several reports from grey literature as a means of streamlining our assessment and capturing the continuously expanding blockchain domain, are included in this review. Based on a structured, systematic review and thematic content analysis of the discovered literature, we present a comprehensive classification of blockchain-enabled applications across diverse sectors such as supply chain, business, healthcare, IoT, privacy, and data management, and we establish key themes, trends and emerging areas for research. We also point to the shortcomings identified in the relevant literature, particularly limitations the blockchain technology presents and how these limitations spawn across different sectors and industries. Building on these findings, we identify various research gaps and future exploratory directions that are anticipated to be of significant value both for academics and practitioners.</x:v>
      </x:c>
      <x:c r="L130" s="88" t="str">
        <x:v>Available</x:v>
      </x:c>
      <x:c r="M130" s="88" t="str">
        <x:v>OpenAlex</x:v>
      </x:c>
      <x:c r="N130" s="88" t="str">
        <x:v>Blockchain Technology Applications and Security; Computer Science</x:v>
      </x:c>
      <x:c r="O130" s="90" t="n">
        <x:v>2096</x:v>
      </x:c>
      <x:c r="P130" s="90" t="n">
        <x:v>469</x:v>
      </x:c>
      <x:c r="Q130" s="86" t="str">
        <x:v>hybrid</x:v>
      </x:c>
      <x:c r="R130" s="87" t="b">
        <x:v>1</x:v>
      </x:c>
      <x:c r="S130" s="88" t="str">
        <x:v>https://www.elsevier.com/tdm/userlicense/1.0/; https://www.elsevier.com/legal/tdmrep-license; http://creativecommons.org/licenses/by-nc-nd/4.0/</x:v>
      </x:c>
      <x:c r="T130" s="88" t="str">
        <x:v>Publication matched; an OA landing page or metadata record was found, but no downloadable PDF was retrieved</x:v>
      </x:c>
      <x:c r="U130" s="88" t="str">
        <x:v>matched</x:v>
      </x:c>
      <x:c r="V130" s="88" t="str">
        <x:v>High</x:v>
      </x:c>
      <x:c r="W130" s="88" t="str">
        <x:v>DOI resolved in Crossref</x:v>
      </x:c>
      <x:c r="X130" s="88" t="str">
        <x:v>https://doi.org/10.1016/j.tele.2018.11.006</x:v>
      </x:c>
      <x:c r="Y130" s="88" t="str">
        <x:v>https://openalex.org/W2901598045</x:v>
      </x:c>
      <x:c r="Z130" s="88" t="str">
        <x:v>https://www.semanticscholar.org/paper/0dded8c6118f4acce0aa7262853af1d49109a776</x:v>
      </x:c>
      <x:c r="AA130" s="88" t="str">
        <x:v>A systematic literature review of blockchain-based applications: Current status, classification and open issues</x:v>
      </x:c>
      <x:c r="AB130" s="88" t="str">
        <x:v>10.1016/j.tele.2018.11.006</x:v>
      </x:c>
      <x:c r="AC130" s="88" t="str">
        <x:v>article</x:v>
      </x:c>
      <x:c r="AD130" s="88" t="str">
        <x:v>OA location did not return a PDF</x:v>
      </x:c>
    </x:row>
    <x:row r="131" ht="48" customHeight="1">
      <x:c r="A131" s="89" t="n">
        <x:v>130</x:v>
      </x:c>
      <x:c r="B131" s="86" t="str">
        <x:v>akhtar2019sensingAccuracy</x:v>
      </x:c>
      <x:c r="C131" s="88" t="str">
        <x:v>Evaluation of Standard Calibration Functions for Eight Electromagnetic Soil Moisture Sensors</x:v>
      </x:c>
      <x:c r="D131" s="88" t="str">
        <x:v>Carlos M.P. Vaz; Scott Jones; Mercer Meding; Markus Tuller</x:v>
      </x:c>
      <x:c r="E131" s="89" t="n">
        <x:v>2013</x:v>
      </x:c>
      <x:c r="F131" s="88" t="str">
        <x:v>Vadose Zone Journal</x:v>
      </x:c>
      <x:c r="G131" s="88" t="str">
        <x:v>Wiley</x:v>
      </x:c>
      <x:c r="H131" s="88" t="str">
        <x:v>journal-article</x:v>
      </x:c>
      <x:c r="I131" s="86" t="str">
        <x:v>10.2136/vzj2012.0160</x:v>
      </x:c>
      <x:c r="J131" s="86" t="str">
        <x:v>https://doi.org/10.2136/vzj2012.0160</x:v>
      </x:c>
      <x:c r="K131" s="88" t="str">
        <x:v>An increasing number of electromagnetic (EM) sensors are deployed to measure volumetric soil water content (θ) for agricultural, ecological, and geotechnical applications. While impedance and capacitance sensors generally operate at frequencies between 20–300 MHz, time domain‐reflectometry (TDR) and‐transmissometry (TDT) function in the GHz range. In general, lower frequency sensors are less expensive but more sensitive to confounding effects of salinity, temperature, and soil textural variations. To simplify sensor application, factory‐supplied calibrations are often provided for different porous media types such as mineral, organic, and saline soils, or soilless‐substrates. The objective of the presented study was to evaluate the performance of eight commercially available EM moisture sensing systems (TDR 100, CS616, Theta Probe, Hydra Probe, SM300, Wet2, 5TE, 10HS) in seven well‐characterized and texturally varying soils using a standardized approach. The validity of factory supplied‐calibration relationships was evaluated and the influence of soil properties on the EM responses for θ measurements was observed. Results indicate that the factory‐supplied calibration relationships for groups of mineral and organic soils in general performed well, but some inconsistences were identified and suggestions for improvement are discussed. Soil‐specific calibrations from this study yielded accuracies of around 0.015 m 3 m −3 for 10HS, SM300, and Theta Probe, while lower accuracies of about 0.025 m 3 m −3 were found for TDR100, CS616, Wet2, 5TE, and the Hydra Probe. These results are based on mineral soils having a large variation in texture, electrical conductivities below 2 dS m −1 , organic matter below 10%, and specific surface areas of less than 50 m 2 g −1 .</x:v>
      </x:c>
      <x:c r="L131" s="88" t="str">
        <x:v>Available</x:v>
      </x:c>
      <x:c r="M131" s="88" t="str">
        <x:v>Crossref</x:v>
      </x:c>
      <x:c r="N131" s="88" t="str">
        <x:v>Soil Moisture and Remote Sensing; Soil and Unsaturated Flow; Geophysical Methods and Applications; Environmental Science</x:v>
      </x:c>
      <x:c r="O131" s="90" t="n">
        <x:v>184</x:v>
      </x:c>
      <x:c r="P131" s="90" t="n">
        <x:v>88</x:v>
      </x:c>
      <x:c r="Q131" s="86" t="str">
        <x:v>closed</x:v>
      </x:c>
      <x:c r="R131" s="87" t="b">
        <x:v>0</x:v>
      </x:c>
      <x:c r="S131" s="88" t="str">
        <x:v>http://onlinelibrary.wiley.com/termsAndConditions#vor</x:v>
      </x:c>
      <x:c r="T131" s="88" t="str">
        <x:v>Publication matched, but no lawful direct open-access PDF was found</x:v>
      </x:c>
      <x:c r="U131" s="88" t="str">
        <x:v>matched_no_oa_pdf</x:v>
      </x:c>
      <x:c r="V131" s="88" t="str">
        <x:v>High</x:v>
      </x:c>
      <x:c r="W131" s="88" t="str">
        <x:v>DOI resolved in Crossref</x:v>
      </x:c>
      <x:c r="X131" s="88" t="str">
        <x:v>https://doi.org/10.2136/vzj2012.0160</x:v>
      </x:c>
      <x:c r="Y131" s="88" t="str">
        <x:v>https://openalex.org/W2024883355</x:v>
      </x:c>
      <x:c r="Z131" s="88" t="str">
        <x:v>https://www.semanticscholar.org/paper/f018536b371473ab97ceb29be5b085c75e6b804a</x:v>
      </x:c>
      <x:c r="AA131" s="88" t="str">
        <x:v>Evaluation of Standard Calibration Functions for Eight Electromagnetic Soil Moisture Sensors</x:v>
      </x:c>
      <x:c r="AB131" s="88" t="str">
        <x:v>10.2136/vzj2012.0160</x:v>
      </x:c>
      <x:c r="AC131" s="88" t="str">
        <x:v>article</x:v>
      </x:c>
      <x:c r="AD131" s="88" t="str"/>
    </x:row>
    <x:row r="132" ht="48" customHeight="1">
      <x:c r="A132" s="89" t="n">
        <x:v>131</x:v>
      </x:c>
      <x:c r="B132" s="86" t="str">
        <x:v>wen2025cropYield</x:v>
      </x:c>
      <x:c r="C132" s="88" t="str">
        <x:v>Optimal model-based deficit irrigation scheduling using AquaCrop: A simulation study with cotton, potato and tomato</x:v>
      </x:c>
      <x:c r="D132" s="88" t="str">
        <x:v>Raphael Linker; Ilya Ioslovich; Georgios Sylaios; Finn Plauborg; Adriano Battilani</x:v>
      </x:c>
      <x:c r="E132" s="89" t="n">
        <x:v>2016</x:v>
      </x:c>
      <x:c r="F132" s="88" t="str">
        <x:v>Agricultural Water Management</x:v>
      </x:c>
      <x:c r="G132" s="88" t="str">
        <x:v>Elsevier BV</x:v>
      </x:c>
      <x:c r="H132" s="88" t="str">
        <x:v>journal-article</x:v>
      </x:c>
      <x:c r="I132" s="86" t="str">
        <x:v>10.1016/j.agwat.2015.09.011</x:v>
      </x:c>
      <x:c r="J132" s="86" t="str">
        <x:v>https://doi.org/10.1016/j.agwat.2015.09.011</x:v>
      </x:c>
      <x:c r="K132" s="88" t="str"/>
      <x:c r="L132" s="88" t="str">
        <x:v>Not found in Crossref/OpenAlex/Semantic Scholar</x:v>
      </x:c>
      <x:c r="M132" s="88" t="str"/>
      <x:c r="N132" s="88" t="str">
        <x:v>Irrigation Practices and Water Management; Water resources management and optimization; Greenhouse Technology and Climate Control; Economics</x:v>
      </x:c>
      <x:c r="O132" s="90" t="n">
        <x:v>113</x:v>
      </x:c>
      <x:c r="P132" s="90" t="n">
        <x:v>30</x:v>
      </x:c>
      <x:c r="Q132" s="86" t="str">
        <x:v>closed</x:v>
      </x:c>
      <x:c r="R132" s="87" t="b">
        <x:v>0</x:v>
      </x:c>
      <x:c r="S132" s="88" t="str">
        <x:v>https://www.elsevier.com/tdm/userlicense/1.0/; https://www.elsevier.com/legal/tdmrep-license</x:v>
      </x:c>
      <x:c r="T132" s="88" t="str">
        <x:v>Publication matched, but no lawful direct open-access PDF was found</x:v>
      </x:c>
      <x:c r="U132" s="88" t="str">
        <x:v>matched_no_oa_pdf</x:v>
      </x:c>
      <x:c r="V132" s="88" t="str">
        <x:v>High</x:v>
      </x:c>
      <x:c r="W132" s="88" t="str">
        <x:v>DOI resolved in Crossref</x:v>
      </x:c>
      <x:c r="X132" s="88" t="str">
        <x:v>https://doi.org/10.1016/j.agwat.2015.09.011</x:v>
      </x:c>
      <x:c r="Y132" s="88" t="str">
        <x:v>https://openalex.org/W1833666208</x:v>
      </x:c>
      <x:c r="Z132" s="88" t="str">
        <x:v>https://www.semanticscholar.org/paper/c3b0507bf6378898ee35b5cc0e059ac20af64f12</x:v>
      </x:c>
      <x:c r="AA132" s="88" t="str">
        <x:v>Optimal model-based deficit irrigation scheduling using AquaCrop: A simulation study with cotton, potato and tomato</x:v>
      </x:c>
      <x:c r="AB132" s="88" t="str">
        <x:v>10.1016/j.agwat.2015.09.011</x:v>
      </x:c>
      <x:c r="AC132" s="88" t="str">
        <x:v>article</x:v>
      </x:c>
      <x:c r="AD132" s="88" t="str"/>
    </x:row>
    <x:row r="133" ht="48" customHeight="1">
      <x:c r="A133" s="89" t="n">
        <x:v>132</x:v>
      </x:c>
      <x:c r="B133" s="86" t="str">
        <x:v>pinto2024throughput</x:v>
      </x:c>
      <x:c r="C133" s="88" t="str">
        <x:v>FastFabric: Scaling hyperledger fabric to 20 000 transactions per second</x:v>
      </x:c>
      <x:c r="D133" s="88" t="str">
        <x:v>Christian Gorenflo; Stephen Lee; Lukasz Golab; Srinivasan Keshav</x:v>
      </x:c>
      <x:c r="E133" s="89" t="n">
        <x:v>2020</x:v>
      </x:c>
      <x:c r="F133" s="88" t="str">
        <x:v>International Journal of Network Management</x:v>
      </x:c>
      <x:c r="G133" s="88" t="str">
        <x:v>Wiley</x:v>
      </x:c>
      <x:c r="H133" s="88" t="str">
        <x:v>journal-article</x:v>
      </x:c>
      <x:c r="I133" s="86" t="str">
        <x:v>10.1002/nem.2099</x:v>
      </x:c>
      <x:c r="J133" s="86" t="str">
        <x:v>https://doi.org/10.1002/nem.2099</x:v>
      </x:c>
      <x:c r="K133" s="88" t="str">
        <x:v>Summary Blockchain technologies are expected to make a significant impact on a variety of industries. However, one issue holding them back is their limited transaction throughput, especially compared to established solutions such as distributed database systems. In this paper, we rearchitect a modern permissioned blockchain system, Hyperledger Fabric, to increase transaction throughput from 3000 to 20 000 transactions per second. We focus on performance bottlenecks beyond the consensus mechanism, and we propose architectural changes that reduce computation and I/O overhead during transaction ordering and validation to greatly improve throughput. Notably, our optimizations are fully plug‐and‐play and do not require any interface changes to Hyperledger Fabric.</x:v>
      </x:c>
      <x:c r="L133" s="88" t="str">
        <x:v>Available</x:v>
      </x:c>
      <x:c r="M133" s="88" t="str">
        <x:v>Crossref</x:v>
      </x:c>
      <x:c r="N133" s="88" t="str">
        <x:v>Blockchain Technology Applications and Security; Cryptography and Data Security; Distributed systems and fault tolerance; Computer Science</x:v>
      </x:c>
      <x:c r="O133" s="90" t="n">
        <x:v>173</x:v>
      </x:c>
      <x:c r="P133" s="90" t="n">
        <x:v>24</x:v>
      </x:c>
      <x:c r="Q133" s="86" t="str">
        <x:v>closed</x:v>
      </x:c>
      <x:c r="R133" s="87" t="b">
        <x:v>0</x:v>
      </x:c>
      <x:c r="S133" s="88" t="str">
        <x:v>http://onlinelibrary.wiley.com/termsAndConditions#vor</x:v>
      </x:c>
      <x:c r="T133" s="88" t="str">
        <x:v>Publication matched, but no lawful direct open-access PDF was found</x:v>
      </x:c>
      <x:c r="U133" s="88" t="str">
        <x:v>matched_no_oa_pdf</x:v>
      </x:c>
      <x:c r="V133" s="88" t="str">
        <x:v>High</x:v>
      </x:c>
      <x:c r="W133" s="88" t="str">
        <x:v>DOI resolved in Crossref</x:v>
      </x:c>
      <x:c r="X133" s="88" t="str">
        <x:v>https://doi.org/10.1002/nem.2099</x:v>
      </x:c>
      <x:c r="Y133" s="88" t="str">
        <x:v>https://openalex.org/W3005719348</x:v>
      </x:c>
      <x:c r="Z133" s="88" t="str">
        <x:v>https://www.semanticscholar.org/paper/1e36ea0e19c236b67f680e3af66dcbc7bdf07dbe</x:v>
      </x:c>
      <x:c r="AA133" s="88" t="str">
        <x:v>FastFabric: Scaling Hyperledger Fabric to 20,000 Transactions per Second</x:v>
      </x:c>
      <x:c r="AB133" s="88" t="str">
        <x:v>10.1002/nem.2099</x:v>
      </x:c>
      <x:c r="AC133" s="88" t="str">
        <x:v>article</x:v>
      </x:c>
      <x:c r="AD133" s="88" t="str"/>
    </x:row>
    <x:row r="134" ht="48" customHeight="1">
      <x:c r="A134" s="89" t="n">
        <x:v>133</x:v>
      </x:c>
      <x:c r="B134" s="86" t="str">
        <x:v>lopez2023remoteFailure</x:v>
      </x:c>
      <x:c r="C134" s="88" t="str">
        <x:v>Design and Implementation of an Integrated IoT Blockchain Platform for Sensing Data Integrity</x:v>
      </x:c>
      <x:c r="D134" s="88" t="str">
        <x:v>Lei Hang; Do-Hyeun Kim</x:v>
      </x:c>
      <x:c r="E134" s="89" t="n">
        <x:v>2019</x:v>
      </x:c>
      <x:c r="F134" s="88" t="str">
        <x:v>Sensors</x:v>
      </x:c>
      <x:c r="G134" s="88" t="str">
        <x:v>MDPI AG</x:v>
      </x:c>
      <x:c r="H134" s="88" t="str">
        <x:v>journal-article</x:v>
      </x:c>
      <x:c r="I134" s="86" t="str">
        <x:v>10.3390/s19102228</x:v>
      </x:c>
      <x:c r="J134" s="86" t="str">
        <x:v>https://doi.org/10.3390/s19102228</x:v>
      </x:c>
      <x:c r="K134" s="88" t="str">
        <x:v>With the rapid development of communication technologies, the Internet of Things (IoT) is getting out of its infancy, into full maturity, and tends to be developed in an explosively rapid way, with more and more data transmitted and processed. As a result, the ability to manage devices deployed worldwide has been given more and advanced requirements in practical application performances. Most existing IoT platforms are highly centralized architectures, which suffer from various technical limitations, such as a cyber-attack and single point of failure. A new solution direction is essential to enhance data accessing, while regulating it with government mandates in privacy and security. In this paper, we propose an integrated IoT platform using blockchain technology to guarantee sensing data integrity. The aim of this platform is to afford the device owner a practical application that provides a comprehensive, immutable log and allows easy access to their devices deployed in different domains. It also provides characteristics of general IoT systems, allows for real-time monitoring, and control between the end user and device. The business logic of the application is defined by the smart contract, which contains rules and conditions. The proposed approach is backed by a proof of concept implementation in realistic IoT scenarios, utilizing Raspberry Pi devices and a permissioned network called Hyperledger Fabric. Lastly, a benchmark study using various performance metrics is made to highlight the significance of the proposed work. The analysis results indicate that the designed platform is suitable for the resource-constrained IoT architecture and is scalable to be extended in various IoT scenarios.</x:v>
      </x:c>
      <x:c r="L134" s="88" t="str">
        <x:v>Available</x:v>
      </x:c>
      <x:c r="M134" s="88" t="str">
        <x:v>Crossref</x:v>
      </x:c>
      <x:c r="N134" s="88" t="str">
        <x:v>Blockchain Technology Applications and Security; IoT and Edge/Fog Computing; Privacy, Security, and Data Protection; Computer Science; Medicine</x:v>
      </x:c>
      <x:c r="O134" s="90" t="n">
        <x:v>239</x:v>
      </x:c>
      <x:c r="P134" s="90" t="n">
        <x:v>54</x:v>
      </x:c>
      <x:c r="Q134" s="86" t="str">
        <x:v>gold</x:v>
      </x:c>
      <x:c r="R134" s="87" t="b">
        <x:v>1</x:v>
      </x:c>
      <x:c r="S134" s="88" t="str">
        <x:v>https://creativecommons.org/licenses/by/4.0/</x:v>
      </x:c>
      <x:c r="T134" s="88" t="str">
        <x:v>Publication matched; an OA landing page or metadata record was found, but no downloadable PDF was retrieved</x:v>
      </x:c>
      <x:c r="U134" s="88" t="str">
        <x:v>matched</x:v>
      </x:c>
      <x:c r="V134" s="88" t="str">
        <x:v>High</x:v>
      </x:c>
      <x:c r="W134" s="88" t="str">
        <x:v>DOI resolved in Crossref</x:v>
      </x:c>
      <x:c r="X134" s="88" t="str">
        <x:v>https://doi.org/10.3390/s19102228</x:v>
      </x:c>
      <x:c r="Y134" s="88" t="str">
        <x:v>https://openalex.org/W2946297772</x:v>
      </x:c>
      <x:c r="Z134" s="88" t="str">
        <x:v>https://www.semanticscholar.org/paper/c6c99db2c12f583f21890a5d8adb74b32170f17c</x:v>
      </x:c>
      <x:c r="AA134" s="88" t="str">
        <x:v>Design and Implementation of an Integrated IoT Blockchain Platform for Sensing Data Integrity</x:v>
      </x:c>
      <x:c r="AB134" s="88" t="str">
        <x:v>10.3390/s19102228</x:v>
      </x:c>
      <x:c r="AC134" s="88" t="str">
        <x:v>article</x:v>
      </x:c>
      <x:c r="AD134" s="88" t="str">
        <x:v>Open-access landing page found, but no direct PDF URL</x:v>
      </x:c>
    </x:row>
    <x:row r="135" ht="48" customHeight="1">
      <x:c r="A135" s="89" t="n">
        <x:v>134</x:v>
      </x:c>
      <x:c r="B135" s="86" t="str">
        <x:v>nguyen2022smartFarmingSC</x:v>
      </x:c>
      <x:c r="C135" s="88" t="str">
        <x:v>An agri-food supply chain traceability system for China based on RFID &amp;amp; blockchain technology</x:v>
      </x:c>
      <x:c r="D135" s="88" t="str">
        <x:v>Feng Tian</x:v>
      </x:c>
      <x:c r="E135" s="89" t="n">
        <x:v>2016</x:v>
      </x:c>
      <x:c r="F135" s="88" t="str">
        <x:v>2016 13th International Conference on Service Systems and Service Management (ICSSSM)</x:v>
      </x:c>
      <x:c r="G135" s="88" t="str">
        <x:v>IEEE</x:v>
      </x:c>
      <x:c r="H135" s="88" t="str">
        <x:v>proceedings-article</x:v>
      </x:c>
      <x:c r="I135" s="86" t="str">
        <x:v>10.1109/icsssm.2016.7538424</x:v>
      </x:c>
      <x:c r="J135" s="86" t="str">
        <x:v>https://doi.org/10.1109/icsssm.2016.7538424</x:v>
      </x:c>
      <x:c r="K135" s="88" t="str">
        <x:v>For the past few years, food safety has become an outstanding problem in China. Since traditional agri-food logistics pattern can not match the demands of the market anymore, building an agri-food supply chain traceability system is becoming more and more urgent. In this paper, we study the utilization and development situation of RFID (Radio-Frequency IDentification) and blockchain technology first, and then we analyze the advantages and disadvantages of using RFID and blockchain technology in building the agri-food supply chain traceability system; finally, we demonstrate the building process of this system. It can realize the traceability with trusted information in the entire agri-food supply chain, which would effectively guarantee the food safety, by gathering, transferring and sharing the authentic data of agri-food in production, processing, warehousing, distribution and selling links.</x:v>
      </x:c>
      <x:c r="L135" s="88" t="str">
        <x:v>Available</x:v>
      </x:c>
      <x:c r="M135" s="88" t="str">
        <x:v>OpenAlex</x:v>
      </x:c>
      <x:c r="N135" s="88" t="str">
        <x:v>Blockchain Technology Applications and Security; Food Supply Chain Traceability; Food Waste Reduction and Sustainability; Computer Science</x:v>
      </x:c>
      <x:c r="O135" s="90" t="n">
        <x:v>561</x:v>
      </x:c>
      <x:c r="P135" s="90" t="n">
        <x:v>21</x:v>
      </x:c>
      <x:c r="Q135" s="86" t="str">
        <x:v>closed</x:v>
      </x:c>
      <x:c r="R135" s="87" t="b">
        <x:v>0</x:v>
      </x:c>
      <x:c r="S135" s="88" t="str"/>
      <x:c r="T135" s="88" t="str">
        <x:v>Publication matched, but no lawful direct open-access PDF was found</x:v>
      </x:c>
      <x:c r="U135" s="88" t="str">
        <x:v>matched_no_oa_pdf</x:v>
      </x:c>
      <x:c r="V135" s="88" t="str">
        <x:v>High</x:v>
      </x:c>
      <x:c r="W135" s="88" t="str">
        <x:v>DOI resolved in Crossref</x:v>
      </x:c>
      <x:c r="X135" s="88" t="str">
        <x:v>https://doi.org/10.1109/icsssm.2016.7538424</x:v>
      </x:c>
      <x:c r="Y135" s="88" t="str">
        <x:v>https://openalex.org/W2511580607</x:v>
      </x:c>
      <x:c r="Z135" s="88" t="str">
        <x:v>https://www.semanticscholar.org/paper/24cdeb7d7421012c2fdd362b8e2816c105b7071f</x:v>
      </x:c>
      <x:c r="AA135" s="88" t="str">
        <x:v>An agri-food supply chain traceability system for China based on RFID \&amp; blockchain technology</x:v>
      </x:c>
      <x:c r="AB135" s="88" t="str">
        <x:v>10.1109/icsssm.2016.7538424</x:v>
      </x:c>
      <x:c r="AC135" s="88" t="str">
        <x:v>article</x:v>
      </x:c>
      <x:c r="AD135" s="88" t="str"/>
    </x:row>
    <x:row r="136" ht="48" customHeight="1">
      <x:c r="A136" s="89" t="n">
        <x:v>135</x:v>
      </x:c>
      <x:c r="B136" s="86" t="str">
        <x:v>bashir2023IoTWear</x:v>
      </x:c>
      <x:c r="C136" s="88" t="str">
        <x:v>Agri-food 4.0: A survey of the supply chains and technologies for the future agriculture</x:v>
      </x:c>
      <x:c r="D136" s="88" t="str">
        <x:v>Mario Lezoche; Jorge E. Hernandez; Maria del Mar Eva Alemany Díaz; Hervé Panetto; Janusz Kacprzyk</x:v>
      </x:c>
      <x:c r="E136" s="89" t="n">
        <x:v>2020</x:v>
      </x:c>
      <x:c r="F136" s="88" t="str">
        <x:v>Computers in Industry</x:v>
      </x:c>
      <x:c r="G136" s="88" t="str">
        <x:v>Elsevier BV</x:v>
      </x:c>
      <x:c r="H136" s="88" t="str">
        <x:v>journal-article</x:v>
      </x:c>
      <x:c r="I136" s="86" t="str">
        <x:v>10.1016/j.compind.2020.103187</x:v>
      </x:c>
      <x:c r="J136" s="86" t="str">
        <x:v>https://doi.org/10.1016/j.compind.2020.103187</x:v>
      </x:c>
      <x:c r="K136" s="88" t="str">
        <x:v>Abstract 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x:v>
      </x:c>
      <x:c r="L136" s="88" t="str">
        <x:v>Available</x:v>
      </x:c>
      <x:c r="M136" s="88" t="str">
        <x:v>Semantic Scholar</x:v>
      </x:c>
      <x:c r="N136" s="88" t="str">
        <x:v>Food Supply Chain Traceability; Smart Agriculture and AI; Food Waste Reduction and Sustainability; Computer Science; Business</x:v>
      </x:c>
      <x:c r="O136" s="90" t="n">
        <x:v>703</x:v>
      </x:c>
      <x:c r="P136" s="90" t="n">
        <x:v>207</x:v>
      </x:c>
      <x:c r="Q136" s="86" t="str">
        <x:v>bronze</x:v>
      </x:c>
      <x:c r="R136" s="87" t="b">
        <x:v>1</x:v>
      </x:c>
      <x:c r="S136" s="88" t="str">
        <x:v>https://www.elsevier.com/tdm/userlicense/1.0/; https://www.elsevier.com/legal/tdmrep-license; http://www.elsevier.com/open-access/userlicense/1.0/</x:v>
      </x:c>
      <x:c r="T136" s="88" t="str">
        <x:v>Publication matched; an OA landing page or metadata record was found, but no downloadable PDF was retrieved</x:v>
      </x:c>
      <x:c r="U136" s="88" t="str">
        <x:v>matched</x:v>
      </x:c>
      <x:c r="V136" s="88" t="str">
        <x:v>High</x:v>
      </x:c>
      <x:c r="W136" s="88" t="str">
        <x:v>DOI resolved in Crossref</x:v>
      </x:c>
      <x:c r="X136" s="88" t="str">
        <x:v>https://doi.org/10.1016/j.compind.2020.103187</x:v>
      </x:c>
      <x:c r="Y136" s="88" t="str">
        <x:v>https://openalex.org/W2995946162</x:v>
      </x:c>
      <x:c r="Z136" s="88" t="str">
        <x:v>https://www.semanticscholar.org/paper/dd5e5f2e4dfa71f5d0499d841a8505a322249be1</x:v>
      </x:c>
      <x:c r="AA136" s="88" t="str">
        <x:v>Agri-food 4.0: A survey of the supply chains and technologies for the future agriculture</x:v>
      </x:c>
      <x:c r="AB136" s="88" t="str">
        <x:v>10.1016/j.compind.2020.103187</x:v>
      </x:c>
      <x:c r="AC136" s="88" t="str">
        <x:v>article</x:v>
      </x:c>
      <x:c r="AD136" s="88" t="str">
        <x:v>OA location did not return a PDF</x:v>
      </x:c>
    </x:row>
    <x:row r="137" ht="48" customHeight="1">
      <x:c r="A137" s="89" t="n">
        <x:v>136</x:v>
      </x:c>
      <x:c r="B137" s="86" t="str">
        <x:v>amada2025waterDemand</x:v>
      </x:c>
      <x:c r="C137" s="88" t="str">
        <x:v>Constraints and potentials of future irrigation water availability on agricultural production under climate change</x:v>
      </x:c>
      <x:c r="D137" s="88" t="str">
        <x:v>Joshua Elliott; Delphine Deryng; Christoph Müller; Katja Frieler; Markus Konzmann; Dieter Gerten; Michael Glotter; Martina Flörke; Yoshihide Wada; Neil Best; Stephanie Eisner; Balázs M. Fekete; Christian Folberth; Ian Foster; Simon N. Gosling; Ingjerd Haddeland; Nikolay Khabarov; Fulco Ludwig; Yoshimitsu Masaki; Stefan Olin; Cynthia Rosenzweig; Alex C. Ruane; Yusuke Satoh; Erwin Schmid; Tobias Stacke; Qiuhong Tang; Dominik Wisser</x:v>
      </x:c>
      <x:c r="E137" s="89" t="n">
        <x:v>2013</x:v>
      </x:c>
      <x:c r="F137" s="88" t="str">
        <x:v>Proceedings of the National Academy of Sciences</x:v>
      </x:c>
      <x:c r="G137" s="88" t="str">
        <x:v>National Academy of Sciences</x:v>
      </x:c>
      <x:c r="H137" s="88" t="str">
        <x:v>journal-article</x:v>
      </x:c>
      <x:c r="I137" s="86" t="str">
        <x:v>10.1073/pnas.1222474110</x:v>
      </x:c>
      <x:c r="J137" s="86" t="str">
        <x:v>https://doi.org/10.1073/pnas.1222474110</x:v>
      </x:c>
      <x:c r="K137" s="88" t="str">
        <x:v>Significance Freshwater availability is relevant to almost all socioeconomic and environmental impacts of climate and demographic change and their implications for sustainability. We compare ensembles of water supply and demand projections driven by ensemble output from five global climate models. Our results suggest reasons for concern. Direct climate impacts to maize, soybean, wheat, and rice involve losses of 400–2,600 Pcal (8–43% of present-day total). Freshwater limitations in some heavily irrigated regions could necessitate reversion of 20–60 Mha of cropland from irrigated to rainfed management, and a further loss of 600–2,900 Pcal. Freshwater abundance in other regions could help ameliorate these losses, but substantial investment in infrastructure would be required.</x:v>
      </x:c>
      <x:c r="L137" s="88" t="str">
        <x:v>Available</x:v>
      </x:c>
      <x:c r="M137" s="88" t="str">
        <x:v>Crossref</x:v>
      </x:c>
      <x:c r="N137" s="88" t="str">
        <x:v>Climate change impacts on agriculture; Climate variability and models; Water resources management and optimization; Environmental Science; Medicine</x:v>
      </x:c>
      <x:c r="O137" s="90" t="n">
        <x:v>967</x:v>
      </x:c>
      <x:c r="P137" s="90" t="n">
        <x:v>50</x:v>
      </x:c>
      <x:c r="Q137" s="86" t="str">
        <x:v>bronze</x:v>
      </x:c>
      <x:c r="R137" s="87" t="b">
        <x:v>1</x:v>
      </x:c>
      <x:c r="S137" s="88" t="str"/>
      <x:c r="T137" s="88" t="str">
        <x:v>Publication matched; an OA landing page or metadata record was found, but no downloadable PDF was retrieved</x:v>
      </x:c>
      <x:c r="U137" s="88" t="str">
        <x:v>matched</x:v>
      </x:c>
      <x:c r="V137" s="88" t="str">
        <x:v>High</x:v>
      </x:c>
      <x:c r="W137" s="88" t="str">
        <x:v>DOI resolved in Crossref</x:v>
      </x:c>
      <x:c r="X137" s="88" t="str">
        <x:v>https://doi.org/10.1073/pnas.1222474110</x:v>
      </x:c>
      <x:c r="Y137" s="88" t="str">
        <x:v>https://openalex.org/W2115385872</x:v>
      </x:c>
      <x:c r="Z137" s="88" t="str">
        <x:v>https://www.semanticscholar.org/paper/145d43aa3d7b69a4f16626efdfa4ae1264abe441</x:v>
      </x:c>
      <x:c r="AA137" s="88" t="str">
        <x:v>Constraints and potentials of future irrigation water availability on agricultural production under climate change</x:v>
      </x:c>
      <x:c r="AB137" s="88" t="str">
        <x:v>10.1073/pnas.1222474110</x:v>
      </x:c>
      <x:c r="AC137" s="88" t="str">
        <x:v>article</x:v>
      </x:c>
      <x:c r="AD137" s="88" t="str">
        <x:v>OA location did not return a PDF</x:v>
      </x:c>
    </x:row>
    <x:row r="138" ht="48" customHeight="1">
      <x:c r="A138" s="89" t="n">
        <x:v>137</x:v>
      </x:c>
      <x:c r="B138" s="86" t="str">
        <x:v>zhu2017blockchainAgri</x:v>
      </x:c>
      <x:c r="C138" s="88" t="str">
        <x:v>A supply chain traceability system for food safety based on HACCP, blockchain &amp;amp; Internet of things</x:v>
      </x:c>
      <x:c r="D138" s="88" t="str">
        <x:v>Feng Tian</x:v>
      </x:c>
      <x:c r="E138" s="89" t="n">
        <x:v>2017</x:v>
      </x:c>
      <x:c r="F138" s="88" t="str">
        <x:v>2017 International Conference on Service Systems and Service Management</x:v>
      </x:c>
      <x:c r="G138" s="88" t="str">
        <x:v>IEEE</x:v>
      </x:c>
      <x:c r="H138" s="88" t="str">
        <x:v>proceedings-article</x:v>
      </x:c>
      <x:c r="I138" s="86" t="str">
        <x:v>10.1109/icsssm.2017.7996119</x:v>
      </x:c>
      <x:c r="J138" s="86" t="str">
        <x:v>https://doi.org/10.1109/icsssm.2017.7996119</x:v>
      </x:c>
      <x:c r="K138"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L138" s="88" t="str">
        <x:v>Available</x:v>
      </x:c>
      <x:c r="M138" s="88" t="str">
        <x:v>OpenAlex</x:v>
      </x:c>
      <x:c r="N138" s="88" t="str">
        <x:v>Food Supply Chain Traceability; Food Waste Reduction and Sustainability; Food Safety and Hygiene; Computer Science</x:v>
      </x:c>
      <x:c r="O138" s="90" t="n">
        <x:v>277</x:v>
      </x:c>
      <x:c r="P138" s="90" t="n">
        <x:v>20</x:v>
      </x:c>
      <x:c r="Q138" s="86" t="str">
        <x:v>closed</x:v>
      </x:c>
      <x:c r="R138" s="87" t="b">
        <x:v>0</x:v>
      </x:c>
      <x:c r="S138" s="88" t="str"/>
      <x:c r="T138" s="88" t="str">
        <x:v>Publication matched, but no lawful direct open-access PDF was found</x:v>
      </x:c>
      <x:c r="U138" s="88" t="str">
        <x:v>matched_no_oa_pdf</x:v>
      </x:c>
      <x:c r="V138" s="88" t="str">
        <x:v>High</x:v>
      </x:c>
      <x:c r="W138" s="88" t="str">
        <x:v>DOI resolved in Crossref</x:v>
      </x:c>
      <x:c r="X138" s="88" t="str">
        <x:v>https://doi.org/10.1109/icsssm.2017.7996119</x:v>
      </x:c>
      <x:c r="Y138" s="88" t="str">
        <x:v>https://openalex.org/W2740090788</x:v>
      </x:c>
      <x:c r="Z138" s="88" t="str">
        <x:v>https://www.semanticscholar.org/paper/304083f2a7b00d07d7c33883e2e74ac0fd8245c5</x:v>
      </x:c>
      <x:c r="AA138" s="88" t="str">
        <x:v>A Supply Chain Traceability System for Food Safety Based on HACCP, Blockchain \&amp; Internet of Things</x:v>
      </x:c>
      <x:c r="AB138" s="88" t="str">
        <x:v>10.1109/icsssm.2017.7996119</x:v>
      </x:c>
      <x:c r="AC138" s="88" t="str">
        <x:v>article</x:v>
      </x:c>
      <x:c r="AD138" s="88" t="str"/>
    </x:row>
    <x:row r="139" ht="48" customHeight="1">
      <x:c r="A139" s="89" t="n">
        <x:v>138</x:v>
      </x:c>
      <x:c r="B139" s="86" t="str">
        <x:v>jiang2024secureIPFS</x:v>
      </x:c>
      <x:c r="C139" s="88" t="str">
        <x:v>Decentralized document version control using ethereum blockchain and IPFS</x:v>
      </x:c>
      <x:c r="D139" s="88" t="str">
        <x:v>N. Nizamuddin; K. Salah; M. Ajmal Azad; J. Arshad; M.H. Rehman</x:v>
      </x:c>
      <x:c r="E139" s="89" t="n">
        <x:v>2019</x:v>
      </x:c>
      <x:c r="F139" s="88" t="str">
        <x:v>Computers &amp;amp; Electrical Engineering</x:v>
      </x:c>
      <x:c r="G139" s="88" t="str">
        <x:v>Elsevier BV</x:v>
      </x:c>
      <x:c r="H139" s="88" t="str">
        <x:v>journal-article</x:v>
      </x:c>
      <x:c r="I139" s="86" t="str">
        <x:v>10.1016/j.compeleceng.2019.03.014</x:v>
      </x:c>
      <x:c r="J139" s="86" t="str">
        <x:v>https://doi.org/10.1016/j.compeleceng.2019.03.014</x:v>
      </x:c>
      <x:c r="K139" s="88" t="str">
        <x:v>Abstract In this paper, we propose a blockchain-based solution and framework for document sharing and version control to facilitate multi-user collaboration and track changes in a trusted, secure, and decentralized manner, with no involvement of a centralized trusted entity or third party. This solution is based on utilizing Ethereum smart contracts to govern and regulate the document version control functions among the creators and developers of the document and its validators. Moreover, our solution leverages the benefits of IPFS (InterPlanetary File System) to store documents on a decentralized file system. The proposed solution automates necessary interactions among multiple actors comprising developers and approvers. Smart contracts have been developed using Solidity language, and their functionalities were tested using the Remix IDE (Integrated Development Environment). The paper demonstrates that our smart contract code is free of commonly known security vulnerabilities and attacks. The code has been made publically available at Github.</x:v>
      </x:c>
      <x:c r="L139" s="88" t="str">
        <x:v>Available</x:v>
      </x:c>
      <x:c r="M139" s="88" t="str">
        <x:v>Semantic Scholar</x:v>
      </x:c>
      <x:c r="N139" s="88" t="str">
        <x:v>Blockchain Technology Applications and Security; Cloud Data Security Solutions; Cloud Computing and Resource Management; Computer Science</x:v>
      </x:c>
      <x:c r="O139" s="90" t="n">
        <x:v>228</x:v>
      </x:c>
      <x:c r="P139" s="90" t="n">
        <x:v>24</x:v>
      </x:c>
      <x:c r="Q139" s="86" t="str">
        <x:v>closed</x:v>
      </x:c>
      <x:c r="R139" s="87" t="b">
        <x:v>0</x:v>
      </x:c>
      <x:c r="S139" s="88" t="str">
        <x:v>https://www.elsevier.com/tdm/userlicense/1.0/; https://www.elsevier.com/legal/tdmrep-license</x:v>
      </x:c>
      <x:c r="T139" s="88" t="str">
        <x:v>Publication matched, but no lawful direct open-access PDF was found</x:v>
      </x:c>
      <x:c r="U139" s="88" t="str">
        <x:v>matched_no_oa_pdf</x:v>
      </x:c>
      <x:c r="V139" s="88" t="str">
        <x:v>High</x:v>
      </x:c>
      <x:c r="W139" s="88" t="str">
        <x:v>DOI resolved in Crossref</x:v>
      </x:c>
      <x:c r="X139" s="88" t="str">
        <x:v>https://doi.org/10.1016/j.compeleceng.2019.03.014</x:v>
      </x:c>
      <x:c r="Y139" s="88" t="str">
        <x:v>https://openalex.org/W2930456362</x:v>
      </x:c>
      <x:c r="Z139" s="88" t="str">
        <x:v>https://www.semanticscholar.org/paper/aaa545332c9da2f75ed8399f3f26200c92509ff6</x:v>
      </x:c>
      <x:c r="AA139" s="88" t="str">
        <x:v>Decentralized document version control using ethereum blockchain and IPFS</x:v>
      </x:c>
      <x:c r="AB139" s="88" t="str">
        <x:v>10.1016/j.compeleceng.2019.03.014</x:v>
      </x:c>
      <x:c r="AC139" s="88" t="str">
        <x:v>article</x:v>
      </x:c>
      <x:c r="AD139" s="88" t="str"/>
    </x:row>
    <x:row r="140" ht="48" customHeight="1">
      <x:c r="A140" s="89" t="n">
        <x:v>139</x:v>
      </x:c>
      <x:c r="B140" s="86" t="str">
        <x:v>djeddi2025parallelCRT</x:v>
      </x:c>
      <x:c r="C140" s="88" t="str">
        <x:v>RESIDENT: a reliable residue number system-based data transmission mechanism for wireless sensor networks</x:v>
      </x:c>
      <x:c r="D140" s="88" t="str">
        <x:v>Run Ye; Azzedine Boukerche; Houjun Wang; Xiaojia Zhou; Bin Yan</x:v>
      </x:c>
      <x:c r="E140" s="89" t="n">
        <x:v>2016</x:v>
      </x:c>
      <x:c r="F140" s="88" t="str">
        <x:v>Wireless Networks</x:v>
      </x:c>
      <x:c r="G140" s="88" t="str">
        <x:v>Springer Science and Business Media LLC</x:v>
      </x:c>
      <x:c r="H140" s="88" t="str">
        <x:v>journal-article</x:v>
      </x:c>
      <x:c r="I140" s="86" t="str">
        <x:v>10.1007/s11276-016-1357-1</x:v>
      </x:c>
      <x:c r="J140" s="86" t="str">
        <x:v>https://doi.org/10.1007/s11276-016-1357-1</x:v>
      </x:c>
      <x:c r="K140" s="88" t="str"/>
      <x:c r="L140" s="88" t="str">
        <x:v>Not found in Crossref/OpenAlex/Semantic Scholar</x:v>
      </x:c>
      <x:c r="M140" s="88" t="str"/>
      <x:c r="N140" s="88" t="str">
        <x:v>Cooperative Communication and Network Coding; Mobile Ad Hoc Networks; Error Correcting Code Techniques; Computer Science</x:v>
      </x:c>
      <x:c r="O140" s="90" t="n">
        <x:v>17</x:v>
      </x:c>
      <x:c r="P140" s="90" t="n">
        <x:v>36</x:v>
      </x:c>
      <x:c r="Q140" s="86" t="str">
        <x:v>closed</x:v>
      </x:c>
      <x:c r="R140" s="87" t="b">
        <x:v>0</x:v>
      </x:c>
      <x:c r="S140" s="88" t="str">
        <x:v>http://www.springer.com/tdm</x:v>
      </x:c>
      <x:c r="T140" s="88" t="str">
        <x:v>Publication matched, but no lawful direct open-access PDF was found</x:v>
      </x:c>
      <x:c r="U140" s="88" t="str">
        <x:v>matched_no_oa_pdf</x:v>
      </x:c>
      <x:c r="V140" s="88" t="str">
        <x:v>High</x:v>
      </x:c>
      <x:c r="W140" s="88" t="str">
        <x:v>DOI resolved in Crossref</x:v>
      </x:c>
      <x:c r="X140" s="88" t="str">
        <x:v>https://doi.org/10.1007/s11276-016-1357-1</x:v>
      </x:c>
      <x:c r="Y140" s="88" t="str">
        <x:v>https://openalex.org/W2513351355</x:v>
      </x:c>
      <x:c r="Z140" s="88" t="str">
        <x:v>https://www.semanticscholar.org/paper/ca28ac6a5ada61b6b5c667db89b841c9c08ff5ec</x:v>
      </x:c>
      <x:c r="AA140" s="88" t="str">
        <x:v>RESIDENT: A Reliable Residue Number System-Based Data Transmission Mechanism for Wireless Sensor Networks</x:v>
      </x:c>
      <x:c r="AB140" s="88" t="str">
        <x:v>10.1007/s11276-016-1357-1</x:v>
      </x:c>
      <x:c r="AC140" s="88" t="str">
        <x:v>article</x:v>
      </x:c>
      <x:c r="AD140" s="88" t="str"/>
    </x:row>
    <x:row r="141" ht="48" customHeight="1">
      <x:c r="A141" s="89" t="n">
        <x:v>140</x:v>
      </x:c>
      <x:c r="B141" s="86" t="str">
        <x:v>akande2018iotChallenges</x:v>
      </x:c>
      <x:c r="C141" s="88" t="str">
        <x:v>Sustainable Industry 4.0 framework: A systematic literature review identifying the current trends and future perspectives</x:v>
      </x:c>
      <x:c r="D141" s="88" t="str">
        <x:v>Sachin S. Kamble; Angappa Gunasekaran; Shradha A. Gawankar</x:v>
      </x:c>
      <x:c r="E141" s="89" t="n">
        <x:v>2018</x:v>
      </x:c>
      <x:c r="F141" s="88" t="str">
        <x:v>Process Safety and Environmental Protection</x:v>
      </x:c>
      <x:c r="G141" s="88" t="str">
        <x:v>Elsevier BV</x:v>
      </x:c>
      <x:c r="H141" s="88" t="str">
        <x:v>journal-article</x:v>
      </x:c>
      <x:c r="I141" s="86" t="str">
        <x:v>10.1016/j.psep.2018.05.009</x:v>
      </x:c>
      <x:c r="J141" s="86" t="str">
        <x:v>https://doi.org/10.1016/j.psep.2018.05.009</x:v>
      </x:c>
      <x:c r="K141" s="88" t="str">
        <x:v>Abstract Industry 4.0 and its other synonyms like Smart Manufacturing, Smart Production or Internet of Things, have been identified as major contributors in the context of digital and automated manufacturing environment. The term industry 4.0 comprises a variety of technologies to enable the development of the value chain resulting in reduced manufacturing lead times, and improved product quality and organizational performance. Industry 4.0 has attracted much attention in the recent literature, however there are very few systematic and extensive review of research that captures the dynamic nature of this topic. The rapidly growing interest from both academics and practitioners in Industry 4.0 has urged the need for review of up-to-date research and development to develop a new agenda. Selected 85 papers were classified in five research categories namely conceptual papers on Industry 4.0, human-machine interactions, machine-equipment interactions, technologies of Industry 4.0 and sustainability. The review primarily attempted to seek answers to the following two questions: (1) What are different research approaches used to study Industry 4.0? and (2) What is the current status of research in the domains of Industry 4.0?. We propose a sustainable Industry 4.0 framework based on the findings of the review with three critical components viz., Industry 4.0 technologies, process integration and sustainable outcomes. Finally, the scope of future research is discussed in detail.</x:v>
      </x:c>
      <x:c r="L141" s="88" t="str">
        <x:v>Available</x:v>
      </x:c>
      <x:c r="M141" s="88" t="str">
        <x:v>Semantic Scholar</x:v>
      </x:c>
      <x:c r="N141" s="88" t="str">
        <x:v>Digital Transformation in Industry; Flexible and Reconfigurable Manufacturing Systems; Business</x:v>
      </x:c>
      <x:c r="O141" s="90" t="n">
        <x:v>1157</x:v>
      </x:c>
      <x:c r="P141" s="90" t="n">
        <x:v>111</x:v>
      </x:c>
      <x:c r="Q141" s="86" t="str">
        <x:v>closed</x:v>
      </x:c>
      <x:c r="R141" s="87" t="b">
        <x:v>0</x:v>
      </x:c>
      <x:c r="S141" s="88" t="str">
        <x:v>https://www.elsevier.com/tdm/userlicense/1.0/; https://www.elsevier.com/legal/tdmrep-license</x:v>
      </x:c>
      <x:c r="T141" s="88" t="str">
        <x:v>Publication matched, but no lawful direct open-access PDF was found</x:v>
      </x:c>
      <x:c r="U141" s="88" t="str">
        <x:v>matched_no_oa_pdf</x:v>
      </x:c>
      <x:c r="V141" s="88" t="str">
        <x:v>High</x:v>
      </x:c>
      <x:c r="W141" s="88" t="str">
        <x:v>DOI resolved in Crossref</x:v>
      </x:c>
      <x:c r="X141" s="88" t="str">
        <x:v>https://doi.org/10.1016/j.psep.2018.05.009</x:v>
      </x:c>
      <x:c r="Y141" s="88" t="str">
        <x:v>https://openalex.org/W2806407311</x:v>
      </x:c>
      <x:c r="Z141" s="88" t="str">
        <x:v>https://www.semanticscholar.org/paper/bb9984468aad8b68b09cb1affa7cb051e2bf5397</x:v>
      </x:c>
      <x:c r="AA141" s="88" t="str">
        <x:v>Sustainable Industry 4.0 framework: A systematic literature review identifying the current trends and future perspectives</x:v>
      </x:c>
      <x:c r="AB141" s="88" t="str">
        <x:v>10.1016/j.psep.2018.05.009</x:v>
      </x:c>
      <x:c r="AC141" s="88" t="str">
        <x:v>article</x:v>
      </x:c>
      <x:c r="AD141" s="88" t="str"/>
    </x:row>
    <x:row r="142" ht="48" customHeight="1">
      <x:c r="A142" s="89" t="n">
        <x:v>141</x:v>
      </x:c>
      <x:c r="B142" s="86" t="str">
        <x:v>rahimi2023fabricSensors</x:v>
      </x:c>
      <x:c r="C142" s="88" t="str">
        <x:v>Performance Modeling of PBFT Consensus Process for Permissioned Blockchain Network (Hyperledger Fabric)</x:v>
      </x:c>
      <x:c r="D142" s="88" t="str">
        <x:v>Harish Sukhwani; Jose M. Martinez; Xiaolin Chang; Kishor S. Trivedi; Andy Rindos</x:v>
      </x:c>
      <x:c r="E142" s="89" t="n">
        <x:v>2017</x:v>
      </x:c>
      <x:c r="F142" s="88" t="str">
        <x:v>2017 IEEE 36th Symposium on Reliable Distributed Systems (SRDS)</x:v>
      </x:c>
      <x:c r="G142" s="88" t="str">
        <x:v>IEEE</x:v>
      </x:c>
      <x:c r="H142" s="88" t="str">
        <x:v>proceedings-article</x:v>
      </x:c>
      <x:c r="I142" s="86" t="str">
        <x:v>10.1109/srds.2017.36</x:v>
      </x:c>
      <x:c r="J142" s="86" t="str">
        <x:v>https://doi.org/10.1109/srds.2017.36</x:v>
      </x:c>
      <x:c r="K142" s="88" t="str">
        <x:v>While Blockchain network brings tremendous benefits, there are concerns whether their performance would match up with the mainstream IT systems. This paper aims to investigate whether the consensus process using Practical Byzantine Fault Tolerance (PBFT) could be a performance bottleneck for networks with a large number of peers. We model the PBFT consensus process using Stochastic Reward Nets (SRN) to compute the mean time to complete consensus for networks up to 100 peers. We create a blockchain network using IBM Bluemix service, running a production-grade IoT application and use the data to parameterize and validate our models. We also conduct sensitivity analysis over a variety of system parameters and examine the performance of larger networks</x:v>
      </x:c>
      <x:c r="L142" s="88" t="str">
        <x:v>Available</x:v>
      </x:c>
      <x:c r="M142" s="88" t="str">
        <x:v>OpenAlex</x:v>
      </x:c>
      <x:c r="N142" s="88" t="str">
        <x:v>Distributed systems and fault tolerance; Age of Information Optimization; Blockchain Technology Applications and Security; Computer Science</x:v>
      </x:c>
      <x:c r="O142" s="90" t="n">
        <x:v>312</x:v>
      </x:c>
      <x:c r="P142" s="90" t="n">
        <x:v>8</x:v>
      </x:c>
      <x:c r="Q142" s="86" t="str">
        <x:v>closed</x:v>
      </x:c>
      <x:c r="R142" s="87" t="b">
        <x:v>0</x:v>
      </x:c>
      <x:c r="S142" s="88" t="str"/>
      <x:c r="T142" s="88" t="str">
        <x:v>Publication matched, but no lawful direct open-access PDF was found</x:v>
      </x:c>
      <x:c r="U142" s="88" t="str">
        <x:v>matched_no_oa_pdf</x:v>
      </x:c>
      <x:c r="V142" s="88" t="str">
        <x:v>High</x:v>
      </x:c>
      <x:c r="W142" s="88" t="str">
        <x:v>DOI resolved in Crossref</x:v>
      </x:c>
      <x:c r="X142" s="88" t="str">
        <x:v>https://doi.org/10.1109/srds.2017.36</x:v>
      </x:c>
      <x:c r="Y142" s="88" t="str">
        <x:v>https://openalex.org/W2765239986</x:v>
      </x:c>
      <x:c r="Z142" s="88" t="str">
        <x:v>https://www.semanticscholar.org/paper/187215803f494171887a012cb0116157046c292a</x:v>
      </x:c>
      <x:c r="AA142" s="88" t="str">
        <x:v>Performance Modeling of PBFT Consensus Process for Permissioned Blockchain Network (Hyperledger Fabric)</x:v>
      </x:c>
      <x:c r="AB142" s="88" t="str">
        <x:v>10.1109/srds.2017.36</x:v>
      </x:c>
      <x:c r="AC142" s="88" t="str">
        <x:v>article</x:v>
      </x:c>
      <x:c r="AD142" s="88" t="str"/>
    </x:row>
    <x:row r="143" ht="48" customHeight="1">
      <x:c r="A143" s="89" t="n">
        <x:v>142</x:v>
      </x:c>
      <x:c r="B143" s="86" t="str">
        <x:v>brooks2019precisionWater</x:v>
      </x:c>
      <x:c r="C143" s="88" t="str">
        <x:v>Irrigation management under water scarcity</x:v>
      </x:c>
      <x:c r="D143" s="88" t="str">
        <x:v>Luis Santos Pereira; Theib Oweis; Abdelaziz Zairi</x:v>
      </x:c>
      <x:c r="E143" s="89" t="n">
        <x:v>2002</x:v>
      </x:c>
      <x:c r="F143" s="88" t="str">
        <x:v>Agricultural Water Management</x:v>
      </x:c>
      <x:c r="G143" s="88" t="str">
        <x:v>Elsevier BV</x:v>
      </x:c>
      <x:c r="H143" s="88" t="str">
        <x:v>journal-article</x:v>
      </x:c>
      <x:c r="I143" s="86" t="str">
        <x:v>10.1016/s0378-3774(02)00075-6</x:v>
      </x:c>
      <x:c r="J143" s="86" t="str">
        <x:v>https://doi.org/10.1016/s0378-3774(02)00075-6</x:v>
      </x:c>
      <x:c r="K143" s="88" t="str"/>
      <x:c r="L143" s="88" t="str">
        <x:v>Not found in Crossref/OpenAlex/Semantic Scholar</x:v>
      </x:c>
      <x:c r="M143" s="88" t="str"/>
      <x:c r="N143" s="88" t="str">
        <x:v>Irrigation Practices and Water Management; Water resources management and optimization; Plant Water Relations and Carbon Dynamics; Environmental Science</x:v>
      </x:c>
      <x:c r="O143" s="90" t="n">
        <x:v>712</x:v>
      </x:c>
      <x:c r="P143" s="90" t="n">
        <x:v>94</x:v>
      </x:c>
      <x:c r="Q143" s="86" t="str">
        <x:v>closed</x:v>
      </x:c>
      <x:c r="R143" s="87" t="b">
        <x:v>0</x:v>
      </x:c>
      <x:c r="S143" s="88" t="str">
        <x:v>https://www.elsevier.com/tdm/userlicense/1.0/</x:v>
      </x:c>
      <x:c r="T143" s="88" t="str">
        <x:v>Publication matched, but no lawful direct open-access PDF was found</x:v>
      </x:c>
      <x:c r="U143" s="88" t="str">
        <x:v>matched_no_oa_pdf</x:v>
      </x:c>
      <x:c r="V143" s="88" t="str">
        <x:v>High</x:v>
      </x:c>
      <x:c r="W143" s="88" t="str">
        <x:v>DOI resolved in Crossref</x:v>
      </x:c>
      <x:c r="X143" s="88" t="str">
        <x:v>https://doi.org/10.1016/s0378-3774(02)00075-6</x:v>
      </x:c>
      <x:c r="Y143" s="88" t="str">
        <x:v>https://openalex.org/W2007442358</x:v>
      </x:c>
      <x:c r="Z143" s="88" t="str">
        <x:v>https://www.semanticscholar.org/paper/43e7839035fef83db6a22b609e0fe2e4b0c430fc</x:v>
      </x:c>
      <x:c r="AA143" s="88" t="str">
        <x:v>Irrigation management under water scarcity</x:v>
      </x:c>
      <x:c r="AB143" s="88" t="str">
        <x:v>10.1016/s0378-3774(02)00075-6</x:v>
      </x:c>
      <x:c r="AC143" s="88" t="str">
        <x:v>article</x:v>
      </x:c>
      <x:c r="AD143" s="88" t="str"/>
    </x:row>
    <x:row r="144" ht="48" customHeight="1">
      <x:c r="A144" s="89" t="n">
        <x:v>143</x:v>
      </x:c>
      <x:c r="B144" s="86" t="str">
        <x:v>mohamed2024cropQuality</x:v>
      </x:c>
      <x:c r="C144" s="88" t="str">
        <x:v>Sensor-Based Model Driven Control Strategy for Precision Irrigation</x:v>
      </x:c>
      <x:c r="D144" s="88" t="str">
        <x:v>Camilo Lozoya; Carlos Mendoza; Alberto Aguilar; Armando Román; Rodolfo Castelló</x:v>
      </x:c>
      <x:c r="E144" s="89" t="n">
        <x:v>2016</x:v>
      </x:c>
      <x:c r="F144" s="88" t="str">
        <x:v>Journal of Sensors</x:v>
      </x:c>
      <x:c r="G144" s="88" t="str">
        <x:v>Wiley</x:v>
      </x:c>
      <x:c r="H144" s="88" t="str">
        <x:v>journal-article</x:v>
      </x:c>
      <x:c r="I144" s="86" t="str">
        <x:v>10.1155/2016/9784071</x:v>
      </x:c>
      <x:c r="J144" s="86" t="str">
        <x:v>https://doi.org/10.1155/2016/9784071</x:v>
      </x:c>
      <x:c r="K144" s="88" t="str">
        <x:v>Improving the efficiency of the agricultural irrigation systems substantially contributes to sustainable water management. This improvement can be achieved through an automated irrigation system that includes a real-time control strategy based on the water, soil, and crop relationship. This paper presents a model driven control strategy applied to an irrigation system, in order to make an efficient use of water for large crop fields, that is, applying the correct amount of water in the correct place at the right moment. The proposed model uses a predictive algorithm that senses soil moisture and weather variables, to determine optimal amount of water required by the crop. This proposed approach is evaluated against a traditional irrigation system based on the empirical definition of time periods and against a basic soil moisture control system. Results indicate that the use of a model predictive control in an irrigation system achieves a higher efficiency and significantly reduce the water consumption.</x:v>
      </x:c>
      <x:c r="L144" s="88" t="str">
        <x:v>Available</x:v>
      </x:c>
      <x:c r="M144" s="88" t="str">
        <x:v>Crossref</x:v>
      </x:c>
      <x:c r="N144" s="88" t="str">
        <x:v>Irrigation Practices and Water Management; Smart Agriculture and AI; Greenhouse Technology and Climate Control; Engineering; Computer Science</x:v>
      </x:c>
      <x:c r="O144" s="90" t="n">
        <x:v>69</x:v>
      </x:c>
      <x:c r="P144" s="90" t="n">
        <x:v>18</x:v>
      </x:c>
      <x:c r="Q144" s="86" t="str">
        <x:v>hybrid</x:v>
      </x:c>
      <x:c r="R144" s="87" t="b">
        <x:v>1</x:v>
      </x:c>
      <x:c r="S144" s="88" t="str">
        <x:v>http://creativecommons.org/licenses/by/4.0/</x:v>
      </x:c>
      <x:c r="T144" s="88" t="str">
        <x:v>Publication matched; an OA landing page or metadata record was found, but no downloadable PDF was retrieved</x:v>
      </x:c>
      <x:c r="U144" s="88" t="str">
        <x:v>matched</x:v>
      </x:c>
      <x:c r="V144" s="88" t="str">
        <x:v>High</x:v>
      </x:c>
      <x:c r="W144" s="88" t="str">
        <x:v>DOI resolved in Crossref</x:v>
      </x:c>
      <x:c r="X144" s="88" t="str">
        <x:v>https://doi.org/10.1155/2016/9784071</x:v>
      </x:c>
      <x:c r="Y144" s="88" t="str">
        <x:v>https://openalex.org/W2551203847</x:v>
      </x:c>
      <x:c r="Z144" s="88" t="str">
        <x:v>https://www.semanticscholar.org/paper/a3407fd3e997d28f06884e945868b7bc36c390c3</x:v>
      </x:c>
      <x:c r="AA144" s="88" t="str">
        <x:v>Sensor-Based Model Driven Control Strategy for Precision Irrigation</x:v>
      </x:c>
      <x:c r="AB144" s="88" t="str">
        <x:v>10.1155/2016/9784071</x:v>
      </x:c>
      <x:c r="AC144" s="88" t="str">
        <x:v>article</x:v>
      </x:c>
      <x:c r="AD144" s="88" t="str">
        <x:v>OA PDF download failed</x:v>
      </x:c>
    </x:row>
    <x:row r="145" ht="48" customHeight="1">
      <x:c r="A145" s="89" t="n">
        <x:v>144</x:v>
      </x:c>
      <x:c r="B145" s="86" t="str">
        <x:v>green2022irrigationDemand</x:v>
      </x:c>
      <x:c r="C145" s="88" t="str">
        <x:v>Improved indicators of water use performance and productivity for sustainable water conservation and saving</x:v>
      </x:c>
      <x:c r="D145" s="88" t="str">
        <x:v>Luis S. Pereira; Ian Cordery; Iacovos Iacovides</x:v>
      </x:c>
      <x:c r="E145" s="89" t="n">
        <x:v>2012</x:v>
      </x:c>
      <x:c r="F145" s="88" t="str">
        <x:v>Agricultural Water Management</x:v>
      </x:c>
      <x:c r="G145" s="88" t="str">
        <x:v>Elsevier BV</x:v>
      </x:c>
      <x:c r="H145" s="88" t="str">
        <x:v>journal-article</x:v>
      </x:c>
      <x:c r="I145" s="86" t="str">
        <x:v>10.1016/j.agwat.2011.08.022</x:v>
      </x:c>
      <x:c r="J145" s="86" t="str">
        <x:v>https://doi.org/10.1016/j.agwat.2011.08.022</x:v>
      </x:c>
      <x:c r="K145" s="88" t="str"/>
      <x:c r="L145" s="88" t="str">
        <x:v>Not found in Crossref/OpenAlex/Semantic Scholar</x:v>
      </x:c>
      <x:c r="M145" s="88" t="str"/>
      <x:c r="N145" s="88" t="str">
        <x:v>Irrigation Practices and Water Management; Water resources management and optimization; Plant Water Relations and Carbon Dynamics; Environmental Science; Chemistry</x:v>
      </x:c>
      <x:c r="O145" s="90" t="n">
        <x:v>429</x:v>
      </x:c>
      <x:c r="P145" s="90" t="n">
        <x:v>75</x:v>
      </x:c>
      <x:c r="Q145" s="86" t="str">
        <x:v>closed</x:v>
      </x:c>
      <x:c r="R145" s="87" t="b">
        <x:v>0</x:v>
      </x:c>
      <x:c r="S145" s="88" t="str">
        <x:v>https://www.elsevier.com/tdm/userlicense/1.0/; https://www.elsevier.com/legal/tdmrep-license</x:v>
      </x:c>
      <x:c r="T145" s="88" t="str">
        <x:v>Publication matched, but no lawful direct open-access PDF was found</x:v>
      </x:c>
      <x:c r="U145" s="88" t="str">
        <x:v>matched_no_oa_pdf</x:v>
      </x:c>
      <x:c r="V145" s="88" t="str">
        <x:v>High</x:v>
      </x:c>
      <x:c r="W145" s="88" t="str">
        <x:v>DOI resolved in Crossref</x:v>
      </x:c>
      <x:c r="X145" s="88" t="str">
        <x:v>https://doi.org/10.1016/j.agwat.2011.08.022</x:v>
      </x:c>
      <x:c r="Y145" s="88" t="str">
        <x:v>https://openalex.org/W2038966034</x:v>
      </x:c>
      <x:c r="Z145" s="88" t="str">
        <x:v>https://www.semanticscholar.org/paper/35163c74d243d1cc470845b6366385c1e6c4bb3b</x:v>
      </x:c>
      <x:c r="AA145" s="88" t="str">
        <x:v>Improved indicators of water use performance and productivity for sustainable water conservation and saving</x:v>
      </x:c>
      <x:c r="AB145" s="88" t="str">
        <x:v>10.1016/j.agwat.2011.08.022</x:v>
      </x:c>
      <x:c r="AC145" s="88" t="str">
        <x:v>article</x:v>
      </x:c>
      <x:c r="AD145" s="88" t="str"/>
    </x:row>
    <x:row r="146" ht="48" customHeight="1">
      <x:c r="A146" s="89" t="n">
        <x:v>145</x:v>
      </x:c>
      <x:c r="B146" s="86" t="str">
        <x:v>ahmad2025agriBlockchain</x:v>
      </x:c>
      <x:c r="C146" s="88" t="str">
        <x:v>Efficient productivity prediction model based on edge data compression in smart farms</x:v>
      </x:c>
      <x:c r="D146" s="88" t="str">
        <x:v>Peng Jin; Wenshuang Du; Wenquan Jin</x:v>
      </x:c>
      <x:c r="E146" s="89" t="n">
        <x:v>2025</x:v>
      </x:c>
      <x:c r="F146" s="88" t="str">
        <x:v>Smart Agricultural Technology</x:v>
      </x:c>
      <x:c r="G146" s="88" t="str">
        <x:v>Elsevier BV</x:v>
      </x:c>
      <x:c r="H146" s="88" t="str">
        <x:v>journal-article</x:v>
      </x:c>
      <x:c r="I146" s="86" t="str">
        <x:v>10.1016/j.atech.2025.101242</x:v>
      </x:c>
      <x:c r="J146" s="86" t="str">
        <x:v>https://doi.org/10.1016/j.atech.2025.101242</x:v>
      </x:c>
      <x:c r="K146" s="88" t="str">
        <x:v>Amid escalating global farmland degradation alongside rising food demand. Smart farms are playing an increasingly vital role as a key approach to enhancing crop productivity. By integrating Internet of Things (IoT) devices with edge computing, smart farms significantly improve real-time data processing and decision-making capabilities, thereby enhancing agricultural productivity. However, existing smart farms often face challenges, such as inefficiencies and performance bottlenecks, due to the limitations of traditional cloud computing architectures. For providing solutions to the problems existing in current smart farms, such as excessive energy consumption, and redundant data transmission, this paper proposes an adaptive optimization strategy based on priority scheduling and multi-source information fusion. This strategy integrates lightweight edge models and region-aware clippings and compression techniques to reduce data transmission while retaining key agronomic features. Furthermore, the strategy's multi-dimensional resource-aware scheduling and optimized network multiplexing significantly enhance the efficiency of data acquisition and transmission. Meanwhile, a cloud-edge collaborative decision-making model is adopted to accurately analyze crop maturity through real-time processing of heterogeneous data. Experimental results show that under minimal packet loss, the system significantly improves data transmission performance and reasoning reliability. Even under high compression conditions, the precision loss remains at a relatively low level. This study effectively balances data efficiency and analytical precision through advanced edge intelligence, showcasing its feasibility and application potential in resource-constrained agricultural settings. The proposed approach offers a novel solution for precision agriculture, contributing to global food security and sustainable development.</x:v>
      </x:c>
      <x:c r="L146" s="88" t="str">
        <x:v>Available</x:v>
      </x:c>
      <x:c r="M146" s="88" t="str">
        <x:v>OpenAlex</x:v>
      </x:c>
      <x:c r="N146" s="88" t="str">
        <x:v>Smart Agriculture and AI; Food Supply Chain Traceability</x:v>
      </x:c>
      <x:c r="O146" s="90" t="n">
        <x:v>7</x:v>
      </x:c>
      <x:c r="P146" s="90" t="n">
        <x:v>58</x:v>
      </x:c>
      <x:c r="Q146" s="86" t="str">
        <x:v>gold</x:v>
      </x:c>
      <x:c r="R146" s="87" t="b">
        <x:v>1</x:v>
      </x:c>
      <x:c r="S146" s="88" t="str">
        <x:v>https://www.elsevier.com/tdm/userlicense/1.0/; https://www.elsevier.com/legal/tdmrep-license; http://creativecommons.org/licenses/by/4.0/</x:v>
      </x:c>
      <x:c r="T146" s="88" t="str">
        <x:v>Publication matched; an OA landing page or metadata record was found, but no downloadable PDF was retrieved</x:v>
      </x:c>
      <x:c r="U146" s="88" t="str">
        <x:v>matched</x:v>
      </x:c>
      <x:c r="V146" s="88" t="str">
        <x:v>High</x:v>
      </x:c>
      <x:c r="W146" s="88" t="str">
        <x:v>DOI resolved in Crossref</x:v>
      </x:c>
      <x:c r="X146" s="88" t="str">
        <x:v>https://doi.org/10.1016/j.atech.2025.101242</x:v>
      </x:c>
      <x:c r="Y146" s="88" t="str">
        <x:v>https://openalex.org/W4413049772</x:v>
      </x:c>
      <x:c r="Z146" s="88" t="str">
        <x:v>https://www.semanticscholar.org/paper/62c9115ea0b02a8c327f21b1d5c807275a2dfa83</x:v>
      </x:c>
      <x:c r="AA146" s="88" t="str">
        <x:v>Efficient productivity prediction model based on edge data compression in smart farms</x:v>
      </x:c>
      <x:c r="AB146" s="88" t="str">
        <x:v>10.1016/j.atech.2025.101242</x:v>
      </x:c>
      <x:c r="AC146" s="88" t="str">
        <x:v>article</x:v>
      </x:c>
      <x:c r="AD146" s="88" t="str">
        <x:v>Open-access landing page found, but no direct PDF URL</x:v>
      </x:c>
    </x:row>
    <x:row r="147" ht="48" customHeight="1">
      <x:c r="A147" s="89" t="n">
        <x:v>146</x:v>
      </x:c>
      <x:c r="B147" s="86" t="str">
        <x:v>ding1996chinese</x:v>
      </x:c>
      <x:c r="C147" s="88" t="str">
        <x:v>The Chinese Remainder Theorem</x:v>
      </x:c>
      <x:c r="D147" s="88" t="str">
        <x:v>Marlow Anderson; Todd Feil</x:v>
      </x:c>
      <x:c r="E147" s="89" t="n">
        <x:v>2014</x:v>
      </x:c>
      <x:c r="F147" s="88" t="str">
        <x:v>A First Course in Abstract Algebra</x:v>
      </x:c>
      <x:c r="G147" s="88" t="str">
        <x:v>Chapman and Hall/CRC</x:v>
      </x:c>
      <x:c r="H147" s="88" t="str">
        <x:v>book-chapter</x:v>
      </x:c>
      <x:c r="I147" s="86" t="str">
        <x:v>10.1201/b17673-23</x:v>
      </x:c>
      <x:c r="J147" s="86" t="str">
        <x:v>https://doi.org/10.1201/b17673-23</x:v>
      </x:c>
      <x:c r="K147" s="88" t="str">
        <x:v>We can cast considerable light on the arithmetic of the rings Zm, by making use of the theory of the previous chapters. We will in the process encounter a famous and ancient result known as the Chinese Remainder Theorem.</x:v>
      </x:c>
      <x:c r="L147" s="88" t="str">
        <x:v>Available</x:v>
      </x:c>
      <x:c r="M147" s="88" t="str">
        <x:v>OpenAlex</x:v>
      </x:c>
      <x:c r="N147" s="88" t="str">
        <x:v>Chinese history and philosophy; Vietnamese History and Culture Studies</x:v>
      </x:c>
      <x:c r="O147" s="90" t="n">
        <x:v>0</x:v>
      </x:c>
      <x:c r="P147" s="90" t="n">
        <x:v>0</x:v>
      </x:c>
      <x:c r="Q147" s="86" t="str">
        <x:v>closed</x:v>
      </x:c>
      <x:c r="R147" s="87" t="b">
        <x:v>0</x:v>
      </x:c>
      <x:c r="S147" s="88" t="str"/>
      <x:c r="T147" s="88" t="str">
        <x:v>Publication matched, but no lawful direct open-access PDF was found</x:v>
      </x:c>
      <x:c r="U147" s="88" t="str">
        <x:v>matched_no_oa_pdf</x:v>
      </x:c>
      <x:c r="V147" s="88" t="str">
        <x:v>High</x:v>
      </x:c>
      <x:c r="W147" s="88" t="str">
        <x:v>DOI resolved in Crossref</x:v>
      </x:c>
      <x:c r="X147" s="88" t="str">
        <x:v>https://doi.org/10.1201/b17673-23</x:v>
      </x:c>
      <x:c r="Y147" s="88" t="str">
        <x:v>https://openalex.org/W2311023058</x:v>
      </x:c>
      <x:c r="Z147" s="88" t="str"/>
      <x:c r="AA147" s="88" t="str">
        <x:v>The Chinese remainder theorem</x:v>
      </x:c>
      <x:c r="AB147" s="88" t="str">
        <x:v>10.1201/b17673-23</x:v>
      </x:c>
      <x:c r="AC147" s="88" t="str">
        <x:v>article</x:v>
      </x:c>
      <x:c r="AD147" s="88" t="str"/>
    </x:row>
    <x:row r="148" ht="48" customHeight="1">
      <x:c r="A148" s="89" t="n">
        <x:v>147</x:v>
      </x:c>
      <x:c r="B148" s="86" t="str">
        <x:v>knuth1997art</x:v>
      </x:c>
      <x:c r="C148" s="88" t="str">
        <x:v>The Art of Computer Programming. Volume 2: Seminumerical Algorithms.</x:v>
      </x:c>
      <x:c r="D148" s="88" t="str">
        <x:v>Olga Taussky; Donald E. Knuth</x:v>
      </x:c>
      <x:c r="E148" s="89" t="n">
        <x:v>1970</x:v>
      </x:c>
      <x:c r="F148" s="88" t="str">
        <x:v>The American Mathematical Monthly</x:v>
      </x:c>
      <x:c r="G148" s="88" t="str">
        <x:v>JSTOR</x:v>
      </x:c>
      <x:c r="H148" s="88" t="str">
        <x:v>journal-article</x:v>
      </x:c>
      <x:c r="I148" s="86" t="str">
        <x:v>10.2307/2317055</x:v>
      </x:c>
      <x:c r="J148" s="86" t="str">
        <x:v>https://doi.org/10.2307/2317055</x:v>
      </x:c>
      <x:c r="K148" s="88" t="str"/>
      <x:c r="L148" s="88" t="str">
        <x:v>Not found in Crossref/OpenAlex/Semantic Scholar</x:v>
      </x:c>
      <x:c r="M148" s="88" t="str"/>
      <x:c r="N148" s="88" t="str">
        <x:v>Metaheuristic Optimization Algorithms Research</x:v>
      </x:c>
      <x:c r="O148" s="90" t="n">
        <x:v>1</x:v>
      </x:c>
      <x:c r="P148" s="90" t="n">
        <x:v>0</x:v>
      </x:c>
      <x:c r="Q148" s="86" t="str">
        <x:v>closed</x:v>
      </x:c>
      <x:c r="R148" s="87" t="b">
        <x:v>0</x:v>
      </x:c>
      <x:c r="S148" s="88" t="str"/>
      <x:c r="T148" s="88" t="str">
        <x:v>Publication matched, but no lawful direct open-access PDF was found</x:v>
      </x:c>
      <x:c r="U148" s="88" t="str">
        <x:v>matched_no_oa_pdf</x:v>
      </x:c>
      <x:c r="V148" s="88" t="str">
        <x:v>High</x:v>
      </x:c>
      <x:c r="W148" s="88" t="str">
        <x:v>DOI resolved in Crossref</x:v>
      </x:c>
      <x:c r="X148" s="88" t="str">
        <x:v>https://doi.org/10.2307/2317055</x:v>
      </x:c>
      <x:c r="Y148" s="88" t="str">
        <x:v>https://openalex.org/W1981663184</x:v>
      </x:c>
      <x:c r="Z148" s="88" t="str"/>
      <x:c r="AA148" s="88" t="str">
        <x:v>The art of computer programming, volume 2: Seminumerical algorithms</x:v>
      </x:c>
      <x:c r="AB148" s="88" t="str">
        <x:v>10.2307/2317055</x:v>
      </x:c>
      <x:c r="AC148" s="88" t="str">
        <x:v>book</x:v>
      </x:c>
      <x:c r="AD148" s="88" t="str"/>
    </x:row>
    <x:row r="149" ht="48" customHeight="1">
      <x:c r="A149" s="89" t="n">
        <x:v>148</x:v>
      </x:c>
      <x:c r="B149" s="86" t="str">
        <x:v>hardy2008introduction</x:v>
      </x:c>
      <x:c r="C149" s="88" t="str">
        <x:v>An introduction to the theory of numbers</x:v>
      </x:c>
      <x:c r="D149" s="88" t="str">
        <x:v>Godfrey H. 1877-1947 Hardy; Edward M. 1906-2005 Wright</x:v>
      </x:c>
      <x:c r="E149" s="89" t="n">
        <x:v>1960</x:v>
      </x:c>
      <x:c r="F149" s="88" t="str">
        <x:v>Journal of the Franklin Institute</x:v>
      </x:c>
      <x:c r="G149" s="88" t="str">
        <x:v>Elsevier BV</x:v>
      </x:c>
      <x:c r="H149" s="88" t="str">
        <x:v>journal-article</x:v>
      </x:c>
      <x:c r="I149" s="86" t="str">
        <x:v>10.1016/0016-0032(60)90676-1</x:v>
      </x:c>
      <x:c r="J149" s="86" t="str">
        <x:v>https://doi.org/10.1016/0016-0032(60)90676-1</x:v>
      </x:c>
      <x:c r="K149" s="88" t="str"/>
      <x:c r="L149" s="88" t="str">
        <x:v>Not found in Crossref/OpenAlex/Semantic Scholar</x:v>
      </x:c>
      <x:c r="M149" s="88" t="str"/>
      <x:c r="N149" s="88" t="str">
        <x:v>History and Theory of Mathematics; Advanced Mathematical Theories</x:v>
      </x:c>
      <x:c r="O149" s="90" t="n">
        <x:v>0</x:v>
      </x:c>
      <x:c r="P149" s="90" t="n">
        <x:v>0</x:v>
      </x:c>
      <x:c r="Q149" s="86" t="str">
        <x:v>closed</x:v>
      </x:c>
      <x:c r="R149" s="87" t="b">
        <x:v>0</x:v>
      </x:c>
      <x:c r="S149" s="88" t="str">
        <x:v>https://www.elsevier.com/tdm/userlicense/1.0/; https://www.elsevier.com/legal/tdmrep-license</x:v>
      </x:c>
      <x:c r="T149" s="88" t="str">
        <x:v>Publication matched, but no lawful direct open-access PDF was found</x:v>
      </x:c>
      <x:c r="U149" s="88" t="str">
        <x:v>matched_no_oa_pdf</x:v>
      </x:c>
      <x:c r="V149" s="88" t="str">
        <x:v>High</x:v>
      </x:c>
      <x:c r="W149" s="88" t="str">
        <x:v>DOI resolved in Crossref</x:v>
      </x:c>
      <x:c r="X149" s="88" t="str">
        <x:v>https://doi.org/10.1016/0016-0032(60)90676-1</x:v>
      </x:c>
      <x:c r="Y149" s="88" t="str">
        <x:v>https://openalex.org/W2076597612</x:v>
      </x:c>
      <x:c r="Z149" s="88" t="str">
        <x:v>https://www.semanticscholar.org/paper/0845cdf5506c124b3c46f7de7001cfe1de9258fe</x:v>
      </x:c>
      <x:c r="AA149" s="88" t="str">
        <x:v>An introduction to the theory of numbers</x:v>
      </x:c>
      <x:c r="AB149" s="88" t="str">
        <x:v>10.1016/0016-0032(60)90676-1</x:v>
      </x:c>
      <x:c r="AC149" s="88" t="str">
        <x:v>book</x:v>
      </x:c>
      <x:c r="AD149" s="88" t="str"/>
    </x:row>
    <x:row r="150" ht="48" customHeight="1">
      <x:c r="A150" s="89" t="n">
        <x:v>149</x:v>
      </x:c>
      <x:c r="B150" s="86" t="str">
        <x:v>menezes1996handbook</x:v>
      </x:c>
      <x:c r="C150" s="88" t="str">
        <x:v>Handbook of applied cryptography</x:v>
      </x:c>
      <x:c r="D150" s="88" t="str">
        <x:v>Alfred Menezes; Paul C. van Oorschot; Scott A. Vanstone; R. L. Rivest</x:v>
      </x:c>
      <x:c r="E150" s="89" t="n">
        <x:v>1997</x:v>
      </x:c>
      <x:c r="F150" s="88" t="str">
        <x:v>Choice Reviews Online</x:v>
      </x:c>
      <x:c r="G150" s="88" t="str">
        <x:v>American Library Association</x:v>
      </x:c>
      <x:c r="H150" s="88" t="str">
        <x:v>journal-article</x:v>
      </x:c>
      <x:c r="I150" s="86" t="str">
        <x:v>10.5860/choice.34-4512</x:v>
      </x:c>
      <x:c r="J150" s="86" t="str">
        <x:v>https://doi.org/10.5860/choice.34-4512</x:v>
      </x:c>
      <x:c r="K150" s="88" t="str">
        <x:v>As we draw near to closing out the twentieth century, we see quite clearly that the information-processing and telecommunications revolutions now underway will continue vigorously into the twenty-first. We interact and transact by directing flocks of digital packets towards each other through cyberspace, carrying love notes, digital cash, and secret corporate documents. Our personal and economic lives rely more and more on our ability to let such ethereal carrier pigeons mediate at a distance what we used to do with face-to-face meetings, paper documents, and a firm handshake. Unfortunately, the technical wizardry enabling remote collaborations is founded on broadcasting everything as sequences of zeros and ones that one&amp;apos;s own dog wouldn&amp;apos;t recognize. What is to distinguish a digital dollar when it is as easily reproducible as the spoken word? How do we converse privately when every syllable is bounced off a satellite and smeared over an entire continent? How should a bank know that it really is Bill Gates requesting from his laptop in Fiji a transfer of $10,000,000,000 to another bank? Fortunately, the magical mathematics of cryptography can help. Cryptography provides techniques for keeping information secret, for determining that information</x:v>
      </x:c>
      <x:c r="L150" s="88" t="str">
        <x:v>Available</x:v>
      </x:c>
      <x:c r="M150" s="88" t="str">
        <x:v>OpenAlex</x:v>
      </x:c>
      <x:c r="N150" s="88" t="str">
        <x:v>Cryptographic Implementations and Security; Coding theory and cryptography; Chaos-based Image/Signal Encryption</x:v>
      </x:c>
      <x:c r="O150" s="90" t="n">
        <x:v>8</x:v>
      </x:c>
      <x:c r="P150" s="90" t="n">
        <x:v>0</x:v>
      </x:c>
      <x:c r="Q150" s="86" t="str">
        <x:v>green</x:v>
      </x:c>
      <x:c r="R150" s="87" t="b">
        <x:v>1</x:v>
      </x:c>
      <x:c r="S150" s="88" t="str"/>
      <x:c r="T150" s="88" t="str">
        <x:v>Publication matched; an OA landing page or metadata record was found, but no downloadable PDF was retrieved</x:v>
      </x:c>
      <x:c r="U150" s="88" t="str">
        <x:v>matched</x:v>
      </x:c>
      <x:c r="V150" s="88" t="str">
        <x:v>High</x:v>
      </x:c>
      <x:c r="W150" s="88" t="str">
        <x:v>DOI resolved in Crossref</x:v>
      </x:c>
      <x:c r="X150" s="88" t="str">
        <x:v>https://doi.org/10.5860/choice.34-4512</x:v>
      </x:c>
      <x:c r="Y150" s="88" t="str">
        <x:v>https://openalex.org/W1660562555</x:v>
      </x:c>
      <x:c r="Z150" s="88" t="str"/>
      <x:c r="AA150" s="88" t="str">
        <x:v>Handbook of applied cryptography</x:v>
      </x:c>
      <x:c r="AB150" s="88" t="str">
        <x:v>10.5860/choice.34-4512</x:v>
      </x:c>
      <x:c r="AC150" s="88" t="str">
        <x:v>book</x:v>
      </x:c>
      <x:c r="AD150" s="88" t="str">
        <x:v>Open-access landing page found, but no direct PDF URL</x:v>
      </x:c>
    </x:row>
    <x:row r="151" ht="48" customHeight="1">
      <x:c r="A151" s="89" t="n">
        <x:v>150</x:v>
      </x:c>
      <x:c r="B151" s="86" t="str">
        <x:v>shoup2009computational</x:v>
      </x:c>
      <x:c r="C151" s="88" t="str">
        <x:v>A Computational Introduction to Number Theory and Algebra</x:v>
      </x:c>
      <x:c r="D151" s="88" t="str">
        <x:v>Victor Shoup</x:v>
      </x:c>
      <x:c r="E151" s="89" t="n">
        <x:v>2008</x:v>
      </x:c>
      <x:c r="F151" s="88" t="str">
        <x:v>Cambridge University Press eBooks</x:v>
      </x:c>
      <x:c r="G151" s="88" t="str">
        <x:v>Cambridge University Press</x:v>
      </x:c>
      <x:c r="H151" s="88" t="str">
        <x:v>monograph</x:v>
      </x:c>
      <x:c r="I151" s="86" t="str">
        <x:v>10.1017/cbo9780511814549</x:v>
      </x:c>
      <x:c r="J151" s="86" t="str">
        <x:v>https://doi.org/10.1017/cbo9780511814549</x:v>
      </x:c>
      <x:c r="K151" s="88" t="str">
        <x:v>Number theory and algebra play an increasingly significant role in computing and communications, as evidenced by the striking applications of these subjects to such fields as cryptography and coding theory. This introductory book emphasizes algorithms and applications, such as cryptography and error correcting codes, and is accessible to a broad audience. The presentation alternates between theory and applications in order to motivate and illustrate the mathematics. The mathematical coverage includes the basics of number theory, abstract algebra and discrete probability theory. This edition now includes over 150 new exercises, ranging from the routine to the challenging, that flesh out the material presented in the body of the text, and which further develop the theory and present new applications. The material has also been reorganized to improve clarity of exposition and presentation. Ideal as a textbook for introductory courses in number theory and algebra, especially those geared towards computer science students.</x:v>
      </x:c>
      <x:c r="L151" s="88" t="str">
        <x:v>Available</x:v>
      </x:c>
      <x:c r="M151" s="88" t="str">
        <x:v>Crossref</x:v>
      </x:c>
      <x:c r="N151" s="88" t="str">
        <x:v>Advanced Mathematical Theories</x:v>
      </x:c>
      <x:c r="O151" s="90" t="n">
        <x:v>104</x:v>
      </x:c>
      <x:c r="P151" s="90" t="n">
        <x:v>0</x:v>
      </x:c>
      <x:c r="Q151" s="86" t="str">
        <x:v>closed</x:v>
      </x:c>
      <x:c r="R151" s="87" t="b">
        <x:v>0</x:v>
      </x:c>
      <x:c r="S151" s="88" t="str">
        <x:v>https://www.cambridge.org/core/terms</x:v>
      </x:c>
      <x:c r="T151" s="88" t="str">
        <x:v>Bibliographic record could not be reliably resolved</x:v>
      </x:c>
      <x:c r="U151" s="88" t="str">
        <x:v>unresolved</x:v>
      </x:c>
      <x:c r="V151" s="88" t="str">
        <x:v>High</x:v>
      </x:c>
      <x:c r="W151" s="88" t="str">
        <x:v>Crossref title match 100%</x:v>
      </x:c>
      <x:c r="X151" s="88" t="str">
        <x:v>https://doi.org/10.1017/cbo9780511814549</x:v>
      </x:c>
      <x:c r="Y151" s="88" t="str">
        <x:v>https://openalex.org/W1491152510</x:v>
      </x:c>
      <x:c r="Z151" s="88" t="str"/>
      <x:c r="AA151" s="88" t="str">
        <x:v>A computational introduction to number theory and algebra</x:v>
      </x:c>
      <x:c r="AB151" s="88" t="str"/>
      <x:c r="AC151" s="88" t="str">
        <x:v>book</x:v>
      </x:c>
      <x:c r="AD151" s="88" t="str"/>
    </x:row>
    <x:row r="152" ht="48" customHeight="1">
      <x:c r="A152" s="89" t="n">
        <x:v>151</x:v>
      </x:c>
      <x:c r="B152" s="86" t="str">
        <x:v>ziv1977universal</x:v>
      </x:c>
      <x:c r="C152" s="88" t="str">
        <x:v>A universal algorithm for sequential data compression</x:v>
      </x:c>
      <x:c r="D152" s="88" t="str">
        <x:v>J. Ziv; A. Lempel</x:v>
      </x:c>
      <x:c r="E152" s="89" t="n">
        <x:v>1977</x:v>
      </x:c>
      <x:c r="F152" s="88" t="str">
        <x:v>IEEE Transactions on Information Theory</x:v>
      </x:c>
      <x:c r="G152" s="88" t="str">
        <x:v>Institute of Electrical and Electronics Engineers (IEEE)</x:v>
      </x:c>
      <x:c r="H152" s="88" t="str">
        <x:v>journal-article</x:v>
      </x:c>
      <x:c r="I152" s="86" t="str">
        <x:v>10.1109/tit.1977.1055714</x:v>
      </x:c>
      <x:c r="J152" s="86" t="str">
        <x:v>https://doi.org/10.1109/tit.1977.1055714</x:v>
      </x:c>
      <x:c r="K152" s="88" t="str">
        <x:v>A universal algorithm for sequential data compression is presented. Its performance is investigated with respect to a nonprobabilistic model of constrained sources. The compression ratio achieved by the proposed universal code uniformly approaches the lower bounds on the compression ratios attainable by block-to-variable codes and variable-to-block codes designed to match a completely specified source.</x:v>
      </x:c>
      <x:c r="L152" s="88" t="str">
        <x:v>Available</x:v>
      </x:c>
      <x:c r="M152" s="88" t="str">
        <x:v>OpenAlex</x:v>
      </x:c>
      <x:c r="N152" s="88" t="str">
        <x:v>Algorithms and Data Compression; Cellular Automata and Applications; Advanced Data Compression Techniques; Computer Science</x:v>
      </x:c>
      <x:c r="O152" s="90" t="n">
        <x:v>3705</x:v>
      </x:c>
      <x:c r="P152" s="90" t="n">
        <x:v>11</x:v>
      </x:c>
      <x:c r="Q152" s="86" t="str">
        <x:v>closed</x:v>
      </x:c>
      <x:c r="R152" s="87" t="b">
        <x:v>0</x:v>
      </x:c>
      <x:c r="S152" s="88" t="str">
        <x:v>https://ieeexplore.ieee.org/Xplorehelp/downloads/license-information/IEEE.html; https://doi.org/10.15223/policy-029; https://doi.org/10.15223/policy-037</x:v>
      </x:c>
      <x:c r="T152" s="88" t="str">
        <x:v>Bibliographic record could not be reliably resolved</x:v>
      </x:c>
      <x:c r="U152" s="88" t="str">
        <x:v>unresolved</x:v>
      </x:c>
      <x:c r="V152" s="88" t="str">
        <x:v>High</x:v>
      </x:c>
      <x:c r="W152" s="88" t="str">
        <x:v>Crossref title match 100%</x:v>
      </x:c>
      <x:c r="X152" s="88" t="str">
        <x:v>https://doi.org/10.1109/tit.1977.1055714</x:v>
      </x:c>
      <x:c r="Y152" s="88" t="str">
        <x:v>https://openalex.org/W2107745473</x:v>
      </x:c>
      <x:c r="Z152" s="88" t="str">
        <x:v>https://www.semanticscholar.org/paper/59c9f2036e673d8bc9713eed851d12c6c9fe53cb</x:v>
      </x:c>
      <x:c r="AA152" s="88" t="str">
        <x:v>A universal algorithm for sequential data compression</x:v>
      </x:c>
      <x:c r="AB152" s="88" t="str"/>
      <x:c r="AC152" s="88" t="str">
        <x:v>article</x:v>
      </x:c>
      <x:c r="AD152" s="88" t="str"/>
    </x:row>
    <x:row r="153" ht="48" customHeight="1">
      <x:c r="A153" s="89" t="n">
        <x:v>152</x:v>
      </x:c>
      <x:c r="B153" s="86" t="str">
        <x:v>huffman1952method</x:v>
      </x:c>
      <x:c r="C153" s="88" t="str">
        <x:v>A Method for the Construction of Minimum-Redundancy Codes</x:v>
      </x:c>
      <x:c r="D153" s="88" t="str">
        <x:v>David Huffman</x:v>
      </x:c>
      <x:c r="E153" s="89" t="n">
        <x:v>1952</x:v>
      </x:c>
      <x:c r="F153" s="88" t="str">
        <x:v>Proceedings of the IRE</x:v>
      </x:c>
      <x:c r="G153" s="88" t="str">
        <x:v>Institute of Electrical and Electronics Engineers (IEEE)</x:v>
      </x:c>
      <x:c r="H153" s="88" t="str">
        <x:v>journal-article</x:v>
      </x:c>
      <x:c r="I153" s="86" t="str">
        <x:v>10.1109/jrproc.1952.273898</x:v>
      </x:c>
      <x:c r="J153" s="86" t="str">
        <x:v>https://doi.org/10.1109/jrproc.1952.273898</x:v>
      </x:c>
      <x:c r="K153" s="88" t="str">
        <x:v>An optimum method of coding an ensemble of messages consisting of a finite number of members is developed. A minimum-redundancy code is one constructed in such a way that the average number of coding digits per message is minimized.</x:v>
      </x:c>
      <x:c r="L153" s="88" t="str">
        <x:v>Available</x:v>
      </x:c>
      <x:c r="M153" s="88" t="str">
        <x:v>OpenAlex</x:v>
      </x:c>
      <x:c r="N153" s="88" t="str">
        <x:v>graph theory and CDMA systems; Coding theory and cryptography; Cybersecurity and Information Systems</x:v>
      </x:c>
      <x:c r="O153" s="90" t="n">
        <x:v>4087</x:v>
      </x:c>
      <x:c r="P153" s="90" t="n">
        <x:v>3</x:v>
      </x:c>
      <x:c r="Q153" s="86" t="str">
        <x:v>closed</x:v>
      </x:c>
      <x:c r="R153" s="87" t="b">
        <x:v>0</x:v>
      </x:c>
      <x:c r="S153" s="88" t="str">
        <x:v>https://ieeexplore.ieee.org/Xplorehelp/downloads/license-information/IEEE.html</x:v>
      </x:c>
      <x:c r="T153" s="88" t="str">
        <x:v>Bibliographic record could not be reliably resolved</x:v>
      </x:c>
      <x:c r="U153" s="88" t="str">
        <x:v>unresolved</x:v>
      </x:c>
      <x:c r="V153" s="88" t="str">
        <x:v>High</x:v>
      </x:c>
      <x:c r="W153" s="88" t="str">
        <x:v>Crossref title match 100%</x:v>
      </x:c>
      <x:c r="X153" s="88" t="str">
        <x:v>https://doi.org/10.1109/jrproc.1952.273898</x:v>
      </x:c>
      <x:c r="Y153" s="88" t="str">
        <x:v>https://openalex.org/W2060108852</x:v>
      </x:c>
      <x:c r="Z153" s="88" t="str"/>
      <x:c r="AA153" s="88" t="str">
        <x:v>A method for the construction of minimum-redundancy codes</x:v>
      </x:c>
      <x:c r="AB153" s="88" t="str"/>
      <x:c r="AC153" s="88" t="str">
        <x:v>article</x:v>
      </x:c>
      <x:c r="AD153" s="88" t="str"/>
    </x:row>
    <x:row r="154" ht="48" customHeight="1">
      <x:c r="A154" s="89" t="n">
        <x:v>153</x:v>
      </x:c>
      <x:c r="B154" s="86" t="str">
        <x:v>salomon2007data</x:v>
      </x:c>
      <x:c r="C154" s="88" t="str">
        <x:v>Data Compression: The Complete Reference</x:v>
      </x:c>
      <x:c r="D154" s="88" t="str">
        <x:v>Salomon, David</x:v>
      </x:c>
      <x:c r="E154" s="89" t="n">
        <x:v>2009</x:v>
      </x:c>
      <x:c r="F154" s="88" t="str">
        <x:v>Kybernetes</x:v>
      </x:c>
      <x:c r="G154" s="88" t="str">
        <x:v>Emerald</x:v>
      </x:c>
      <x:c r="H154" s="88" t="str">
        <x:v>journal-article</x:v>
      </x:c>
      <x:c r="I154" s="86" t="str">
        <x:v>10.1108/k.2009.06738eae.001</x:v>
      </x:c>
      <x:c r="J154" s="86" t="str">
        <x:v>https://doi.org/10.1108/k.2009.06738eae.001</x:v>
      </x:c>
      <x:c r="K154" s="88" t="str">
        <x:v>Data compression is one of the most important fields and tools in modern computing. From archiving data, CD ROMs, and from coding theory image analysis, many facets of modern computing rely upon data compression. Data Compression provides a comprehensive reference for the many different types and methods of compression. Included are a detailed and helpful taxonomy, analysis of most common methods, and discussions on the use and comparative benefits of methods and description of how to use them. The presentation is organized into the main branches of the field of data compression: run length encoding, statistical methods, dictionary-based methods, image compression, audio compression, and video compression. Detailed descriptions and explanations of the most well-known and frequently used compression methods are covered in a self-contained fashion, with an accessible style and technical level for specialists and nonspecialists. Topics and features: coverage of video compression, including MPEG-1 and H.261 thorough coverage of wavelets methods, including CWT, DWT, EZW and the new Lifting Scheme technique complete audio compression QM coder used in JPEG and JBIG, including new JPEG 200 standard image transformations and detailed coverage of discrete cosine transform and Haar transform coverage of EIDAC method for compressing simple images prefix image compression ACB and FHM curve compression geometric compression and edgebreaker technique.Data Compression provides an invaluable reference and guide for all computer scientists, computer engineers, electrical engineers, signal/image processing engineers and other scientists needing a comprehensive compilation for a broad range of compression methods.</x:v>
      </x:c>
      <x:c r="L154" s="88" t="str">
        <x:v>Available</x:v>
      </x:c>
      <x:c r="M154" s="88" t="str">
        <x:v>OpenAlex</x:v>
      </x:c>
      <x:c r="N154" s="88" t="str">
        <x:v>Algorithms and Data Compression; Advanced Data Compression Techniques; Computer Science</x:v>
      </x:c>
      <x:c r="O154" s="90" t="n">
        <x:v>3</x:v>
      </x:c>
      <x:c r="P154" s="90" t="n">
        <x:v>0</x:v>
      </x:c>
      <x:c r="Q154" s="86" t="str">
        <x:v>closed</x:v>
      </x:c>
      <x:c r="R154" s="87" t="b">
        <x:v>0</x:v>
      </x:c>
      <x:c r="S154" s="88" t="str">
        <x:v>https://www.emerald.com/insight/site-policies</x:v>
      </x:c>
      <x:c r="T154" s="88" t="str">
        <x:v>Bibliographic record could not be reliably resolved</x:v>
      </x:c>
      <x:c r="U154" s="88" t="str">
        <x:v>unresolved</x:v>
      </x:c>
      <x:c r="V154" s="88" t="str">
        <x:v>High</x:v>
      </x:c>
      <x:c r="W154" s="88" t="str">
        <x:v>Crossref title match 100%</x:v>
      </x:c>
      <x:c r="X154" s="88" t="str">
        <x:v>https://doi.org/10.1108/k.2009.06738eae.001</x:v>
      </x:c>
      <x:c r="Y154" s="88" t="str">
        <x:v>https://openalex.org/W2155729921</x:v>
      </x:c>
      <x:c r="Z154" s="88" t="str">
        <x:v>https://www.semanticscholar.org/paper/0cbe1fb5ee08429bb618a04e6f603721f1b3a7d9</x:v>
      </x:c>
      <x:c r="AA154" s="88" t="str">
        <x:v>Data compression: the complete reference</x:v>
      </x:c>
      <x:c r="AB154" s="88" t="str"/>
      <x:c r="AC154" s="88" t="str">
        <x:v>book</x:v>
      </x:c>
      <x:c r="AD154" s="88" t="str"/>
    </x:row>
    <x:row r="155" ht="48" customHeight="1">
      <x:c r="A155" s="89" t="n">
        <x:v>154</x:v>
      </x:c>
      <x:c r="B155" s="86" t="str">
        <x:v>gubbi2013internet</x:v>
      </x:c>
      <x:c r="C155" s="88" t="str">
        <x:v>Internet of Things (IoT): A vision, architectural elements, and future directions</x:v>
      </x:c>
      <x:c r="D155" s="88" t="str">
        <x:v>Jayavardhana Gubbi; Rajkumar Buyya; Slaven Marusic; Marimuthu Palaniswami</x:v>
      </x:c>
      <x:c r="E155" s="89" t="n">
        <x:v>2013</x:v>
      </x:c>
      <x:c r="F155" s="88" t="str">
        <x:v>Future Generation Computer Systems</x:v>
      </x:c>
      <x:c r="G155" s="88" t="str">
        <x:v>Elsevier BV</x:v>
      </x:c>
      <x:c r="H155" s="88" t="str">
        <x:v>journal-article</x:v>
      </x:c>
      <x:c r="I155" s="86" t="str">
        <x:v>10.1016/j.future.2013.01.010</x:v>
      </x:c>
      <x:c r="J155" s="86" t="str">
        <x:v>https://doi.org/10.1016/j.future.2013.01.010</x:v>
      </x:c>
      <x:c r="K155" s="88" t="str">
        <x:v>Ubiquitous sensing enabled by Wireless Sensor Network (WSN) technologies cuts across many areas of modern day living. This offers the ability to measure, infer and understand environmental indicators, from delicate ecologies and natural resources to urban environments. The proliferation of these devices in a communicating-actuating network creates the Internet of Things (IoT), wherein sensors and actuators blend seamlessly with the environment around us, and the information is shared across platforms in order to develop a common operating picture (COP). 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As we move from www (static pages web) to web2 (social networking web) to web3 (ubiquitous computing web), the need for data-on-demand using sophisticated intuitive queries increases significantly. This paper presents a Cloud centric vision for worldwide implementation of Internet of Things. The key enabling technologies and application domains that are likely to drive IoT research in the near future are discussed. A Cloud implementation using Aneka, which is based on interaction of private and public Clouds is presented. We conclude our IoT vision by expanding on the need for convergence of WSN, the Internet and distributed computing directed at technological research community.</x:v>
      </x:c>
      <x:c r="L155" s="88" t="str">
        <x:v>Available</x:v>
      </x:c>
      <x:c r="M155" s="88" t="str">
        <x:v>Semantic Scholar</x:v>
      </x:c>
      <x:c r="N155" s="88" t="str">
        <x:v>Energy Efficient Wireless Sensor Networks; IoT and Edge/Fog Computing; Mobile Crowdsensing and Crowdsourcing; Computer Science</x:v>
      </x:c>
      <x:c r="O155" s="90" t="n">
        <x:v>9648</x:v>
      </x:c>
      <x:c r="P155" s="90" t="n">
        <x:v>69</x:v>
      </x:c>
      <x:c r="Q155" s="86" t="str">
        <x:v>green</x:v>
      </x:c>
      <x:c r="R155" s="87" t="b">
        <x:v>1</x:v>
      </x:c>
      <x:c r="S155" s="88" t="str">
        <x:v>https://www.elsevier.com/tdm/userlicense/1.0/</x:v>
      </x:c>
      <x:c r="T155" s="88" t="str">
        <x:v>Bibliographic record could not be reliably resolved</x:v>
      </x:c>
      <x:c r="U155" s="88" t="str">
        <x:v>unresolved</x:v>
      </x:c>
      <x:c r="V155" s="88" t="str">
        <x:v>High</x:v>
      </x:c>
      <x:c r="W155" s="88" t="str">
        <x:v>Crossref title match 100%</x:v>
      </x:c>
      <x:c r="X155" s="88" t="str">
        <x:v>https://doi.org/10.1016/j.future.2013.01.010</x:v>
      </x:c>
      <x:c r="Y155" s="88" t="str">
        <x:v>https://openalex.org/W2111619626</x:v>
      </x:c>
      <x:c r="Z155" s="88" t="str">
        <x:v>https://www.semanticscholar.org/paper/72c4d8b64a9959ea45677ca1955d3491ef0f1c62</x:v>
      </x:c>
      <x:c r="AA155" s="88" t="str">
        <x:v>Internet of Things (IoT): A vision, architectural elements, and future directions</x:v>
      </x:c>
      <x:c r="AB155" s="88" t="str"/>
      <x:c r="AC155" s="88" t="str">
        <x:v>article</x:v>
      </x:c>
      <x:c r="AD155" s="88" t="str"/>
    </x:row>
    <x:row r="156" ht="48" customHeight="1">
      <x:c r="A156" s="89" t="n">
        <x:v>155</x:v>
      </x:c>
      <x:c r="B156" s="86" t="str">
        <x:v>christidis2016blockchain</x:v>
      </x:c>
      <x:c r="C156" s="88" t="str">
        <x:v>Blockchains and Smart Contracts for the Internet of Things</x:v>
      </x:c>
      <x:c r="D156" s="88" t="str">
        <x:v>Konstantinos Christidis; Michael Devetsikiotis</x:v>
      </x:c>
      <x:c r="E156" s="89" t="n">
        <x:v>2016</x:v>
      </x:c>
      <x:c r="F156" s="88" t="str">
        <x:v>IEEE Access</x:v>
      </x:c>
      <x:c r="G156" s="88" t="str">
        <x:v>Institute of Electrical and Electronics Engineers (IEEE)</x:v>
      </x:c>
      <x:c r="H156" s="88" t="str">
        <x:v>journal-article</x:v>
      </x:c>
      <x:c r="I156" s="86" t="str">
        <x:v>10.1109/access.2016.2566339</x:v>
      </x:c>
      <x:c r="J156" s="86" t="str">
        <x:v>https://doi.org/10.1109/access.2016.2566339</x:v>
      </x:c>
      <x:c r="K156" s="88" t="str">
        <x:v>Motivated by the recent explosion of interest around blockchains, we examine whether they make a good fit for the Internet of Things (IoT) sector. Blockchains allow us to have a distributed peer-to-peer network where non-trusting members can interact with each other without a trusted intermediary, in a verifiable manner. We review how this mechanism works and also look into smart contracts-scripts that reside on the blockchain that allow for the automation of multi-step processes. We then move into the IoT domain, and describe how a blockchain-IoT combination: 1) facilitates the sharing of services and resources leading to the creation of a marketplace of services between devices and 2) allows us to automate in a cryptographically verifiable manner several existing, time-consuming workflows. We also point out certain issues that should be considered before the deployment of a blockchain network in an IoT setting: from transactional privacy to the expected value of the digitized assets traded on the network. Wherever applicable, we identify solutions and workarounds. Our conclusion is that the blockchain-IoT combination is powerful and can cause significant transformations across several industries, paving the way for new business models and novel, distributed applications.</x:v>
      </x:c>
      <x:c r="L156" s="88" t="str">
        <x:v>Available</x:v>
      </x:c>
      <x:c r="M156" s="88" t="str">
        <x:v>OpenAlex</x:v>
      </x:c>
      <x:c r="N156" s="88" t="str">
        <x:v>Blockchain Technology Applications and Security; Digital Platforms and Economics; Cryptography and Data Security; Computer Science</x:v>
      </x:c>
      <x:c r="O156" s="90" t="n">
        <x:v>3706</x:v>
      </x:c>
      <x:c r="P156" s="90" t="n">
        <x:v>92</x:v>
      </x:c>
      <x:c r="Q156" s="86" t="str">
        <x:v>gold</x:v>
      </x:c>
      <x:c r="R156" s="87" t="b">
        <x:v>1</x:v>
      </x:c>
      <x:c r="S156" s="88" t="str">
        <x:v>https://ieeexplore.ieee.org/Xplorehelp/downloads/license-information/OAPA.html</x:v>
      </x:c>
      <x:c r="T156" s="88" t="str">
        <x:v>Bibliographic record could not be reliably resolved</x:v>
      </x:c>
      <x:c r="U156" s="88" t="str">
        <x:v>unresolved</x:v>
      </x:c>
      <x:c r="V156" s="88" t="str">
        <x:v>High</x:v>
      </x:c>
      <x:c r="W156" s="88" t="str">
        <x:v>Crossref title match 100%</x:v>
      </x:c>
      <x:c r="X156" s="88" t="str">
        <x:v>https://doi.org/10.1109/access.2016.2566339</x:v>
      </x:c>
      <x:c r="Y156" s="88" t="str">
        <x:v>https://openalex.org/W2392113277</x:v>
      </x:c>
      <x:c r="Z156" s="88" t="str">
        <x:v>https://www.semanticscholar.org/paper/c998aeb12b78122ec4143b608b517aef0aa2c821</x:v>
      </x:c>
      <x:c r="AA156" s="88" t="str">
        <x:v>Blockchains and smart contracts for the internet of things</x:v>
      </x:c>
      <x:c r="AB156" s="88" t="str"/>
      <x:c r="AC156" s="88" t="str">
        <x:v>article</x:v>
      </x:c>
      <x:c r="AD156" s="88" t="str"/>
    </x:row>
    <x:row r="157" ht="48" customHeight="1">
      <x:c r="A157" s="89" t="n">
        <x:v>156</x:v>
      </x:c>
      <x:c r="B157" s="86" t="str">
        <x:v>semtech2015lorawan</x:v>
      </x:c>
      <x:c r="C157" s="88" t="str">
        <x:v>LoRa Modem Designer's Guide</x:v>
      </x:c>
      <x:c r="D157" s="88" t="str">
        <x:v>Semtech Corporation</x:v>
      </x:c>
      <x:c r="E157" s="89" t="n">
        <x:v>2015</x:v>
      </x:c>
      <x:c r="F157" s="88" t="str"/>
      <x:c r="G157" s="88" t="str"/>
      <x:c r="H157" s="88" t="str">
        <x:v>manual</x:v>
      </x:c>
      <x:c r="I157" s="86" t="str"/>
      <x:c r="J157" s="86" t="str"/>
      <x:c r="K157" s="88" t="str"/>
      <x:c r="L157" s="88" t="str">
        <x:v>Not available; source may not be a journal paper</x:v>
      </x:c>
      <x:c r="M157" s="88" t="str"/>
      <x:c r="N157" s="88" t="str"/>
      <x:c r="O157" s="90"/>
      <x:c r="P157" s="90"/>
      <x:c r="Q157" s="86" t="str">
        <x:v>unknown</x:v>
      </x:c>
      <x:c r="R157" s="86"/>
      <x:c r="S157" s="88" t="str"/>
      <x:c r="T157" s="88" t="str">
        <x:v>Bibliographic record could not be reliably resolved</x:v>
      </x:c>
      <x:c r="U157" s="88" t="str">
        <x:v>unresolved</x:v>
      </x:c>
      <x:c r="V157" s="88" t="str">
        <x:v>Unverified</x:v>
      </x:c>
      <x:c r="W157" s="88" t="str">
        <x:v>No reliable external match</x:v>
      </x:c>
      <x:c r="X157" s="88" t="str"/>
      <x:c r="Y157" s="88" t="str"/>
      <x:c r="Z157" s="88" t="str"/>
      <x:c r="AA157" s="88" t="str">
        <x:v>LoRa Modem Designer's Guide</x:v>
      </x:c>
      <x:c r="AB157" s="88" t="str"/>
      <x:c r="AC157" s="88" t="str">
        <x:v>manual</x:v>
      </x:c>
      <x:c r="AD157" s="88" t="str"/>
    </x:row>
    <x:row r="158" ht="48" customHeight="1">
      <x:c r="A158" s="89" t="n">
        <x:v>157</x:v>
      </x:c>
      <x:c r="B158" s="86" t="str">
        <x:v>sheng2006comparison</x:v>
      </x:c>
      <x:c r="C158" s="88" t="str">
        <x:v>Data Compression Algorithms for Wireless Sensor Networks: A Review and Comparison</x:v>
      </x:c>
      <x:c r="D158" s="88" t="str">
        <x:v>Keleadile Lucia Ketshabetswe; Adamu Murtala Zungeru; Bokani Mtengi; Caspar K. Lebekwe; S. R. S. Prabaharan</x:v>
      </x:c>
      <x:c r="E158" s="89" t="n">
        <x:v>2021</x:v>
      </x:c>
      <x:c r="F158" s="88" t="str">
        <x:v>IEEE Access</x:v>
      </x:c>
      <x:c r="G158" s="88" t="str"/>
      <x:c r="H158" s="88" t="str">
        <x:v>article</x:v>
      </x:c>
      <x:c r="I158" s="86" t="str"/>
      <x:c r="J158" s="86" t="str"/>
      <x:c r="K158" s="88" t="str">
        <x:v>Energy consumption has risen to be a bottleneck in wireless sensor networks. This is caused by the challenges faced by these networks due to their tiny sensor nodes that have limited memory storage, small battery capacity, limited processing capability, and bandwidth. Data compression has been used to reduce energy consumption and improve network lifetime, as it reduces data size before it can be forwarded from the sensing node to the sink node in the network. In this paper, a survey and comparison of currently available data compression techniques in wireless sensor networks are conducted. Suitable sets of criteria are defined to classify existing data compression algorithms. An adaptive lossless data compression algorithm (ALDC) is analyzed through MATLAB coding and simulation from the reviewed data compression techniques. The analysis aims to discover strategies that can be used to reduce the amount of data further before it is transmitted. From this analysis, it was discovered that encoding residue samples, rather than raw data samples, reduced the bitstream from 112 bits to a range of 30 to 36 bits depending on the sample block sizes. The average length of data samples to be passed to the encoder was minimized from the original 14 bits per symbol to 1.125 bits per symbol. This demonstrated a 0.875 code efficiency or redundancy. It resulted in an energy saving of 67.8% to 73.2%. This work further proposes a data compression algorithm that encodes the residue samples with fewer bits than the ALDC algorithm. The algorithm reduced the bitstream to 26 bits. The average length of the code is equal to the entropy of the data samples, demonstrating zero redundancy and an improved energy saving of 76.8% compared to ALDC. The proposed algorithm, therefore, shows improved energy efficiency through data compression.</x:v>
      </x:c>
      <x:c r="L158" s="88" t="str">
        <x:v>Available</x:v>
      </x:c>
      <x:c r="M158" s="88" t="str">
        <x:v>OpenAlex</x:v>
      </x:c>
      <x:c r="N158" s="88" t="str">
        <x:v>Energy Efficient Wireless Sensor Networks; Energy Harvesting in Wireless Networks; Distributed Sensor Networks and Detection Algorithms</x:v>
      </x:c>
      <x:c r="O158" s="90" t="n">
        <x:v>72</x:v>
      </x:c>
      <x:c r="P158" s="90"/>
      <x:c r="Q158" s="86" t="str">
        <x:v>gold</x:v>
      </x:c>
      <x:c r="R158" s="87" t="b">
        <x:v>1</x:v>
      </x:c>
      <x:c r="S158" s="88" t="str"/>
      <x:c r="T158" s="88" t="str">
        <x:v>Bibliographic record could not be reliably resolved</x:v>
      </x:c>
      <x:c r="U158" s="88" t="str">
        <x:v>unresolved</x:v>
      </x:c>
      <x:c r="V158" s="88" t="str">
        <x:v>Medium</x:v>
      </x:c>
      <x:c r="W158" s="88" t="str">
        <x:v>OpenAlex title match 80%</x:v>
      </x:c>
      <x:c r="X158" s="88" t="str"/>
      <x:c r="Y158" s="88" t="str">
        <x:v>https://openalex.org/W3201873277</x:v>
      </x:c>
      <x:c r="Z158" s="88" t="str"/>
      <x:c r="AA158" s="88" t="str">
        <x:v>A comparison of data compression algorithms for wireless sensor networks</x:v>
      </x:c>
      <x:c r="AB158" s="88" t="str"/>
      <x:c r="AC158" s="88" t="str">
        <x:v>inproceedings</x:v>
      </x:c>
      <x:c r="AD158" s="88" t="str"/>
    </x:row>
    <x:row r="159" ht="48" customHeight="1">
      <x:c r="A159" s="89" t="n">
        <x:v>158</x:v>
      </x:c>
      <x:c r="B159" s="86" t="str">
        <x:v>barr1994energy</x:v>
      </x:c>
      <x:c r="C159" s="88" t="str">
        <x:v>Energy consumption and bandwidth in wireless sensor networks</x:v>
      </x:c>
      <x:c r="D159" s="88" t="str">
        <x:v>Barr, K. C. and Asanovic, K.</x:v>
      </x:c>
      <x:c r="E159" s="89" t="n">
        <x:v>2004</x:v>
      </x:c>
      <x:c r="F159" s="88" t="str">
        <x:v>IEEE Micro</x:v>
      </x:c>
      <x:c r="G159" s="88" t="str"/>
      <x:c r="H159" s="88" t="str">
        <x:v>article</x:v>
      </x:c>
      <x:c r="I159" s="86" t="str"/>
      <x:c r="J159" s="86" t="str"/>
      <x:c r="K159" s="88" t="str"/>
      <x:c r="L159" s="88" t="str">
        <x:v>Not found in Crossref/OpenAlex/Semantic Scholar</x:v>
      </x:c>
      <x:c r="M159" s="88" t="str"/>
      <x:c r="N159" s="88" t="str"/>
      <x:c r="O159" s="90"/>
      <x:c r="P159" s="90"/>
      <x:c r="Q159" s="86" t="str">
        <x:v>unknown</x:v>
      </x:c>
      <x:c r="R159" s="86"/>
      <x:c r="S159" s="88" t="str"/>
      <x:c r="T159" s="88" t="str">
        <x:v>Bibliographic record could not be reliably resolved</x:v>
      </x:c>
      <x:c r="U159" s="88" t="str">
        <x:v>unresolved</x:v>
      </x:c>
      <x:c r="V159" s="88" t="str">
        <x:v>Unverified</x:v>
      </x:c>
      <x:c r="W159" s="88" t="str">
        <x:v>No reliable external match</x:v>
      </x:c>
      <x:c r="X159" s="88" t="str"/>
      <x:c r="Y159" s="88" t="str"/>
      <x:c r="Z159" s="88" t="str"/>
      <x:c r="AA159" s="88" t="str">
        <x:v>Energy consumption and bandwidth in wireless sensor networks</x:v>
      </x:c>
      <x:c r="AB159" s="88" t="str"/>
      <x:c r="AC159" s="88" t="str">
        <x:v>article</x:v>
      </x:c>
      <x:c r="AD159" s="88" t="str"/>
    </x:row>
    <x:row r="160" ht="48" customHeight="1">
      <x:c r="A160" s="89" t="n">
        <x:v>159</x:v>
      </x:c>
      <x:c r="B160" s="86" t="str">
        <x:v>polastre2005versatile</x:v>
      </x:c>
      <x:c r="C160" s="88" t="str">
        <x:v>Versatile low power media access for wireless sensor networks</x:v>
      </x:c>
      <x:c r="D160" s="88" t="str">
        <x:v>Joseph Polastre; Jason Hill; David Culler</x:v>
      </x:c>
      <x:c r="E160" s="89" t="n">
        <x:v>2004</x:v>
      </x:c>
      <x:c r="F160" s="88" t="str">
        <x:v>Proceedings of the 2nd international conference on Embedded networked sensor systems</x:v>
      </x:c>
      <x:c r="G160" s="88" t="str">
        <x:v>ACM</x:v>
      </x:c>
      <x:c r="H160" s="88" t="str">
        <x:v>proceedings-article</x:v>
      </x:c>
      <x:c r="I160" s="86" t="str">
        <x:v>10.1145/1031495.1031508</x:v>
      </x:c>
      <x:c r="J160" s="86" t="str">
        <x:v>https://doi.org/10.1145/1031495.1031508</x:v>
      </x:c>
      <x:c r="K160" s="88" t="str">
        <x:v>We propose B-MAC , a carrier sense media access protocol for wireless sensor networks that provides a flexible interface to obtain ultra low power operation, effective collision avoidance, and high channel utilization. To achieve low power operation, B-MAC employs an adaptive preamble sampling scheme to reduce duty cycle and minimize idle listening. B-MAC supports on-the-fly reconfiguration and provides bidirectional interfaces for system services to optimize performance, whether it be for throughput, latency, or power conservation. We build an analytical model of a class of sensor network applications. We use the model to show the effect of changing B-MAC 's parameters and predict the behavior of sensor network applications. By comparing B-MAC to conventional 802.11-inspired protocols, specifically SMAC, we develop an experimental characterization of B-MAC over a wide range of network conditions. We show that B-MAC 's flexibility results in better packet delivery rates, throughput, latency, and energy consumption than S-MAC. By deploying a real world monitoring application with multihop networking, we validate our protocol design and model. Our results illustrate the need for flexible protocols to effectively realize energy efficient sensor network applications.</x:v>
      </x:c>
      <x:c r="L160" s="88" t="str">
        <x:v>Available</x:v>
      </x:c>
      <x:c r="M160" s="88" t="str">
        <x:v>OpenAlex</x:v>
      </x:c>
      <x:c r="N160" s="88" t="str">
        <x:v>Energy Efficient Wireless Sensor Networks; Wireless Networks and Protocols; Energy Harvesting in Wireless Networks; Computer Science</x:v>
      </x:c>
      <x:c r="O160" s="90" t="n">
        <x:v>2187</x:v>
      </x:c>
      <x:c r="P160" s="90" t="n">
        <x:v>24</x:v>
      </x:c>
      <x:c r="Q160" s="86" t="str">
        <x:v>closed</x:v>
      </x:c>
      <x:c r="R160" s="87" t="b">
        <x:v>0</x:v>
      </x:c>
      <x:c r="S160" s="88" t="str">
        <x:v>https://www.acm.org/publications/policies/copyright_policy#Background</x:v>
      </x:c>
      <x:c r="T160" s="88" t="str">
        <x:v>Bibliographic record could not be reliably resolved</x:v>
      </x:c>
      <x:c r="U160" s="88" t="str">
        <x:v>unresolved</x:v>
      </x:c>
      <x:c r="V160" s="88" t="str">
        <x:v>High</x:v>
      </x:c>
      <x:c r="W160" s="88" t="str">
        <x:v>Crossref title match 100%</x:v>
      </x:c>
      <x:c r="X160" s="88" t="str">
        <x:v>https://doi.org/10.1145/1031495.1031508</x:v>
      </x:c>
      <x:c r="Y160" s="88" t="str">
        <x:v>https://openalex.org/W2150039965</x:v>
      </x:c>
      <x:c r="Z160" s="88" t="str">
        <x:v>https://www.semanticscholar.org/paper/af231ba1805e1ec4fd3998775535ad4a0a6688c3</x:v>
      </x:c>
      <x:c r="AA160" s="88" t="str">
        <x:v>Versatile low power media access for wireless sensor networks</x:v>
      </x:c>
      <x:c r="AB160" s="88" t="str"/>
      <x:c r="AC160" s="88" t="str">
        <x:v>article</x:v>
      </x:c>
      <x:c r="AD160" s="88" t="str"/>
    </x:row>
    <x:row r="161" ht="48" customHeight="1">
      <x:c r="A161" s="89" t="n">
        <x:v>160</x:v>
      </x:c>
      <x:c r="B161" s="86" t="str">
        <x:v>yavari2020blockchain</x:v>
      </x:c>
      <x:c r="C161" s="88" t="str">
        <x:v>Spinous Process Inclination in Degenerative Lumbar Spinal Stenosis Individuals</x:v>
      </x:c>
      <x:c r="D161" s="88" t="str">
        <x:v>Janan Abbas; Natan Peled; Israel Hershkovitz; Kamal Hamoud</x:v>
      </x:c>
      <x:c r="E161" s="89" t="n">
        <x:v>2020</x:v>
      </x:c>
      <x:c r="F161" s="88" t="str">
        <x:v>BioMed Research International</x:v>
      </x:c>
      <x:c r="G161" s="88" t="str">
        <x:v>Wiley</x:v>
      </x:c>
      <x:c r="H161" s="88" t="str">
        <x:v>journal-article</x:v>
      </x:c>
      <x:c r="I161" s="86" t="str">
        <x:v>10.1155/2020/8875217</x:v>
      </x:c>
      <x:c r="J161" s="86" t="str">
        <x:v>https://doi.org/10.1155/2020/8875217</x:v>
      </x:c>
      <x:c r="K161" s="88" t="str">
        <x:v>The aim of this study is to determine the sagittal inclination of lumbar spinous processes (SPs) in individuals with degenerative lumbar spinal stenosis (DLSS). It is a retrospective computerized tomography (CT) study including 345 individuals divided into two groups: control (90 males, 90 females) and stenosis (80 males and 85 females. The SP inclination was measured in the midsagittal plane from L1 to L5 levels. Stenosis males (L3‐L5) and females (L1, L4) manifested significantly greater SP inclination compared to their counterparts in the control group. Males had significantly horizontal SP orientation compared to females (L1, L2). We also found that SP inclination became steeper as we descend caudally. This study indicates that SP inclinations are significantly associated with DLSS.</x:v>
      </x:c>
      <x:c r="L161" s="88" t="str">
        <x:v>Available</x:v>
      </x:c>
      <x:c r="M161" s="88" t="str">
        <x:v>Crossref</x:v>
      </x:c>
      <x:c r="N161" s="88" t="str">
        <x:v>Spine and Intervertebral Disc Pathology; Musculoskeletal pain and rehabilitation; Scoliosis diagnosis and treatment; Medicine</x:v>
      </x:c>
      <x:c r="O161" s="90" t="n">
        <x:v>2</x:v>
      </x:c>
      <x:c r="P161" s="90" t="n">
        <x:v>32</x:v>
      </x:c>
      <x:c r="Q161" s="86" t="str">
        <x:v>hybrid</x:v>
      </x:c>
      <x:c r="R161" s="87" t="b">
        <x:v>1</x:v>
      </x:c>
      <x:c r="S161" s="88" t="str">
        <x:v>http://creativecommons.org/licenses/by/4.0/</x:v>
      </x:c>
      <x:c r="T161" s="88" t="str">
        <x:v>Publication matched; an OA landing page or metadata record was found, but no downloadable PDF was retrieved</x:v>
      </x:c>
      <x:c r="U161" s="88" t="str">
        <x:v>matched</x:v>
      </x:c>
      <x:c r="V161" s="88" t="str">
        <x:v>High</x:v>
      </x:c>
      <x:c r="W161" s="88" t="str">
        <x:v>DOI resolved in Crossref</x:v>
      </x:c>
      <x:c r="X161" s="88" t="str">
        <x:v>https://doi.org/10.1155/2020/8875217</x:v>
      </x:c>
      <x:c r="Y161" s="88" t="str">
        <x:v>https://openalex.org/W3112734645</x:v>
      </x:c>
      <x:c r="Z161" s="88" t="str">
        <x:v>https://www.semanticscholar.org/paper/e990e6654f140ff479339f7e37c9ce77c59ab3da</x:v>
      </x:c>
      <x:c r="AA161" s="88" t="str">
        <x:v>An Improved Blockchain-Based Authentication Protocol for IoT Network Management</x:v>
      </x:c>
      <x:c r="AB161" s="88" t="str">
        <x:v>10.1155/2020/8875217</x:v>
      </x:c>
      <x:c r="AC161" s="88" t="str">
        <x:v>article</x:v>
      </x:c>
      <x:c r="AD161" s="88" t="str">
        <x:v>OA location did not return a PDF</x:v>
      </x:c>
    </x:row>
    <x:row r="162" ht="48" customHeight="1">
      <x:c r="A162" s="89" t="n">
        <x:v>161</x:v>
      </x:c>
      <x:c r="B162" s="86" t="str">
        <x:v>kalaimathi2025injection</x:v>
      </x:c>
      <x:c r="C162" s="88" t="str">
        <x:v>Identifying False Injection Packet Transmission using SVM and Secure OLSR in Wireless Sensor Networks</x:v>
      </x:c>
      <x:c r="D162" s="88" t="str">
        <x:v>R. Kalaimathi; A. Yogeshwaran; P. Rajeswari</x:v>
      </x:c>
      <x:c r="E162" s="89" t="n">
        <x:v>2025</x:v>
      </x:c>
      <x:c r="F162" s="88" t="str">
        <x:v>2025 4th International Conference on Distributed Computing and Electrical Circuits and Electronics (ICDCECE)</x:v>
      </x:c>
      <x:c r="G162" s="88" t="str">
        <x:v>IEEE</x:v>
      </x:c>
      <x:c r="H162" s="88" t="str">
        <x:v>proceedings-article</x:v>
      </x:c>
      <x:c r="I162" s="86" t="str">
        <x:v>10.1109/icdcece65353.2025.11035330</x:v>
      </x:c>
      <x:c r="J162" s="86" t="str">
        <x:v>https://doi.org/10.1109/icdcece65353.2025.11035330</x:v>
      </x:c>
      <x:c r="K162" s="88" t="str">
        <x:v>Wireless Sensor Networks (WSNs) are systems of wirelessly communicating, geographically scattered sensor nodes that collect, process, and transmit data. Examples of applications for these networks are smart cities, industrial automation, healthcare, military, and environmental monitoring. Several research studies have been conducted on securing WSNs against false injection attacks, anomaly detection, and optimizing routing protocols. If a legitimate packet is accidentally discarded, vital information can be lost, and applications that rely on data accuracy can be compromised. To resolve the issue, this paper proposes an integrated security framework that combines Support Vector Machines (SVMs) for anomaly detection and Optimal LinkState Routing (OLSR) to achieve secure and efficient routing to avoid false injection in the WSN environment. Before detecting the anomaly, a Fuzzy clustering method is used to create the cluster and also select the appropriate cluster. After selecting the suitable cluster, the SVM model is trained to detect spuriously injected packets and anomaly nodes. Simultaneously, OLSR ensures secure and energy-efficient routing through cryptographic authentication and trusted path selection. The proposed model outcomes demonstrate that the suggested method accomplishes a Packet Delivery Rate (PDR) of 92% and an accuracy of 95% in detecting false injection attempts. In addition, energy consumption is reduced by 14% compared to traditional routing methods, significantly extending the network lifetime. The results show that integrating SVM and OLSR can effectively suppress false packet injection and improve WSN performance.</x:v>
      </x:c>
      <x:c r="L162" s="88" t="str">
        <x:v>Available</x:v>
      </x:c>
      <x:c r="M162" s="88" t="str">
        <x:v>OpenAlex</x:v>
      </x:c>
      <x:c r="N162" s="88" t="str">
        <x:v>Smart Grid Security and Resilience; Network Security and Intrusion Detection; Security in Wireless Sensor Networks</x:v>
      </x:c>
      <x:c r="O162" s="90" t="n">
        <x:v>1</x:v>
      </x:c>
      <x:c r="P162" s="90" t="n">
        <x:v>20</x:v>
      </x:c>
      <x:c r="Q162" s="86" t="str">
        <x:v>closed</x:v>
      </x:c>
      <x:c r="R162" s="87" t="b">
        <x:v>0</x:v>
      </x:c>
      <x:c r="S162" s="88" t="str">
        <x:v>https://doi.org/10.15223/policy-029; https://doi.org/10.15223/policy-037</x:v>
      </x:c>
      <x:c r="T162" s="88" t="str">
        <x:v>Publication matched, but no lawful direct open-access PDF was found</x:v>
      </x:c>
      <x:c r="U162" s="88" t="str">
        <x:v>matched_no_oa_pdf</x:v>
      </x:c>
      <x:c r="V162" s="88" t="str">
        <x:v>High</x:v>
      </x:c>
      <x:c r="W162" s="88" t="str">
        <x:v>DOI resolved in Crossref</x:v>
      </x:c>
      <x:c r="X162" s="88" t="str">
        <x:v>https://doi.org/10.1109/icdcece65353.2025.11035330</x:v>
      </x:c>
      <x:c r="Y162" s="88" t="str">
        <x:v>https://openalex.org/W4411408867</x:v>
      </x:c>
      <x:c r="Z162" s="88" t="str">
        <x:v>https://www.semanticscholar.org/paper/cad1f9d718990a9960414c7c3e31b027cacec767</x:v>
      </x:c>
      <x:c r="AA162" s="88" t="str">
        <x:v>Identifying False Injection Packet Transmission using SVM and Secure OLSR in Wireless Sensor Networks</x:v>
      </x:c>
      <x:c r="AB162" s="88" t="str">
        <x:v>10.1109/icdcece65353.2025.11035330</x:v>
      </x:c>
      <x:c r="AC162" s="88" t="str">
        <x:v>inproceedings</x:v>
      </x:c>
      <x:c r="AD162" s="88" t="str"/>
    </x:row>
    <x:row r="163" ht="48" customHeight="1">
      <x:c r="A163" s="89" t="n">
        <x:v>162</x:v>
      </x:c>
      <x:c r="B163" s="86" t="str">
        <x:v>kumari2025rom</x:v>
      </x:c>
      <x:c r="C163" s="88" t="str">
        <x:v>Building Trust in IoT Networks: A ROM-Based Key Storage and Cloud Signature Verification Approach</x:v>
      </x:c>
      <x:c r="D163" s="88" t="str">
        <x:v>Kumari, Saru and Singh, Rajeev and Kumar, Amit</x:v>
      </x:c>
      <x:c r="E163" s="89" t="n">
        <x:v>2025</x:v>
      </x:c>
      <x:c r="F163" s="88" t="str">
        <x:v>2025 IEEE International Conference on Internet of Things (iThings)</x:v>
      </x:c>
      <x:c r="G163" s="88" t="str"/>
      <x:c r="H163" s="88" t="str">
        <x:v>inproceedings</x:v>
      </x:c>
      <x:c r="I163" s="86" t="str">
        <x:v>10.1109/iot.2025.11089136</x:v>
      </x:c>
      <x:c r="J163" s="86" t="str">
        <x:v>https://doi.org/10.1109/iot.2025.11089136</x:v>
      </x:c>
      <x:c r="K163" s="88" t="str"/>
      <x:c r="L163" s="88" t="str">
        <x:v>Not found in Crossref/OpenAlex/Semantic Scholar</x:v>
      </x:c>
      <x:c r="M163" s="88" t="str"/>
      <x:c r="N163" s="88" t="str"/>
      <x:c r="O163" s="90"/>
      <x:c r="P163" s="90"/>
      <x:c r="Q163" s="86" t="str">
        <x:v>unknown</x:v>
      </x:c>
      <x:c r="R163" s="86"/>
      <x:c r="S163" s="88" t="str"/>
      <x:c r="T163" s="88" t="str">
        <x:v>Bibliographic record could not be reliably resolved</x:v>
      </x:c>
      <x:c r="U163" s="88" t="str">
        <x:v>unresolved</x:v>
      </x:c>
      <x:c r="V163" s="88" t="str">
        <x:v>Unverified</x:v>
      </x:c>
      <x:c r="W163" s="88" t="str">
        <x:v>No reliable external match</x:v>
      </x:c>
      <x:c r="X163" s="88" t="str"/>
      <x:c r="Y163" s="88" t="str"/>
      <x:c r="Z163" s="88" t="str"/>
      <x:c r="AA163" s="88" t="str">
        <x:v>Building Trust in IoT Networks: A ROM-Based Key Storage and Cloud Signature Verification Approach</x:v>
      </x:c>
      <x:c r="AB163" s="88" t="str">
        <x:v>10.1109/iot.2025.11089136</x:v>
      </x:c>
      <x:c r="AC163" s="88" t="str">
        <x:v>inproceedings</x:v>
      </x:c>
      <x:c r="AD163" s="88" t="str"/>
    </x:row>
    <x:row r="164" ht="48" customHeight="1">
      <x:c r="A164" s="89" t="n">
        <x:v>163</x:v>
      </x:c>
      <x:c r="B164" s="86" t="str">
        <x:v>csdn_esp32s3_cache</x:v>
      </x:c>
      <x:c r="C164" s="88" t="str">
        <x:v>ESP32S3 Cache block diagram and operations</x:v>
      </x:c>
      <x:c r="D164" s="88" t="str">
        <x:v>Cris Jay</x:v>
      </x:c>
      <x:c r="E164" s="89" t="n">
        <x:v>2025</x:v>
      </x:c>
      <x:c r="F164" s="88" t="str"/>
      <x:c r="G164" s="88" t="str"/>
      <x:c r="H164" s="88" t="str">
        <x:v>misc</x:v>
      </x:c>
      <x:c r="I164" s="86" t="str"/>
      <x:c r="J164" s="86" t="str"/>
      <x:c r="K164" s="88" t="str"/>
      <x:c r="L164" s="88" t="str">
        <x:v>Not available; source may not be a journal paper</x:v>
      </x:c>
      <x:c r="M164" s="88" t="str"/>
      <x:c r="N164" s="88" t="str"/>
      <x:c r="O164" s="90"/>
      <x:c r="P164" s="90"/>
      <x:c r="Q164" s="86" t="str">
        <x:v>unknown</x:v>
      </x:c>
      <x:c r="R164" s="86"/>
      <x:c r="S164" s="88" t="str"/>
      <x:c r="T164" s="88" t="str">
        <x:v>Bibliographic record could not be reliably resolved</x:v>
      </x:c>
      <x:c r="U164" s="88" t="str">
        <x:v>unresolved</x:v>
      </x:c>
      <x:c r="V164" s="88" t="str">
        <x:v>Unverified</x:v>
      </x:c>
      <x:c r="W164" s="88" t="str">
        <x:v>No reliable external match</x:v>
      </x:c>
      <x:c r="X164" s="88" t="str"/>
      <x:c r="Y164" s="88" t="str"/>
      <x:c r="Z164" s="88" t="str"/>
      <x:c r="AA164" s="88" t="str">
        <x:v>ESP32S3 Cache block diagram and operations</x:v>
      </x:c>
      <x:c r="AB164" s="88" t="str"/>
      <x:c r="AC164" s="88" t="str">
        <x:v>misc</x:v>
      </x:c>
      <x:c r="AD164" s="88" t="str"/>
    </x:row>
    <x:row r="165" ht="48" customHeight="1">
      <x:c r="A165" s="89" t="n">
        <x:v>164</x:v>
      </x:c>
      <x:c r="B165" s="86" t="str">
        <x:v>esp_hal_cache</x:v>
      </x:c>
      <x:c r="C165" s="88" t="str">
        <x:v>Cache Management and Memory Barriers: esp-hal Documentation</x:v>
      </x:c>
      <x:c r="D165" s="88" t="str">
        <x:v>esp-rs Project</x:v>
      </x:c>
      <x:c r="E165" s="89" t="n">
        <x:v>2025</x:v>
      </x:c>
      <x:c r="F165" s="88" t="str"/>
      <x:c r="G165" s="88" t="str"/>
      <x:c r="H165" s="88" t="str">
        <x:v>misc</x:v>
      </x:c>
      <x:c r="I165" s="86" t="str"/>
      <x:c r="J165" s="86" t="str"/>
      <x:c r="K165" s="88" t="str"/>
      <x:c r="L165" s="88" t="str">
        <x:v>Not available; source may not be a journal paper</x:v>
      </x:c>
      <x:c r="M165" s="88" t="str"/>
      <x:c r="N165" s="88" t="str"/>
      <x:c r="O165" s="90"/>
      <x:c r="P165" s="90"/>
      <x:c r="Q165" s="86" t="str">
        <x:v>unknown</x:v>
      </x:c>
      <x:c r="R165" s="86"/>
      <x:c r="S165" s="88" t="str"/>
      <x:c r="T165" s="88" t="str">
        <x:v>Bibliographic record could not be reliably resolved</x:v>
      </x:c>
      <x:c r="U165" s="88" t="str">
        <x:v>unresolved</x:v>
      </x:c>
      <x:c r="V165" s="88" t="str">
        <x:v>Unverified</x:v>
      </x:c>
      <x:c r="W165" s="88" t="str">
        <x:v>No reliable external match</x:v>
      </x:c>
      <x:c r="X165" s="88" t="str"/>
      <x:c r="Y165" s="88" t="str"/>
      <x:c r="Z165" s="88" t="str"/>
      <x:c r="AA165" s="88" t="str">
        <x:v>Cache Management and Memory Barriers: esp-hal Documentation</x:v>
      </x:c>
      <x:c r="AB165" s="88" t="str"/>
      <x:c r="AC165" s="88" t="str">
        <x:v>misc</x:v>
      </x:c>
      <x:c r="AD165" s="88" t="str"/>
    </x:row>
    <x:row r="166" ht="48" customHeight="1">
      <x:c r="A166" s="89" t="n">
        <x:v>165</x:v>
      </x:c>
      <x:c r="B166" s="86" t="str">
        <x:v>brewer2000towards</x:v>
      </x:c>
      <x:c r="C166" s="88" t="str">
        <x:v>Towards robust distributed systems (abstract)</x:v>
      </x:c>
      <x:c r="D166" s="88" t="str">
        <x:v>Eric A. Brewer</x:v>
      </x:c>
      <x:c r="E166" s="89" t="n">
        <x:v>2000</x:v>
      </x:c>
      <x:c r="F166" s="88" t="str">
        <x:v>Proceedings of the nineteenth annual ACM symposium on Principles of distributed computing</x:v>
      </x:c>
      <x:c r="G166" s="88" t="str">
        <x:v>ACM</x:v>
      </x:c>
      <x:c r="H166" s="88" t="str">
        <x:v>proceedings-article</x:v>
      </x:c>
      <x:c r="I166" s="86" t="str">
        <x:v>10.1145/343477.343502</x:v>
      </x:c>
      <x:c r="J166" s="86" t="str">
        <x:v>https://doi.org/10.1145/343477.343502</x:v>
      </x:c>
      <x:c r="K166" s="88" t="str">
        <x:v>Current distributed systems, even the ones that work, tend to be very fragile: they are hard to keep up, hard to manage, hard to grow, hard to evolve, and hard to program. In this talk, I look at several issues in an attempt to clean up the way we think about these systems. These issues include the fault model, high availability, graceful degradation, data consistency, evolution, composition, and autonomy.</x:v>
      </x:c>
      <x:c r="L166" s="88" t="str">
        <x:v>Available</x:v>
      </x:c>
      <x:c r="M166" s="88" t="str">
        <x:v>OpenAlex</x:v>
      </x:c>
      <x:c r="N166" s="88" t="str">
        <x:v>Distributed and Parallel Computing Systems; Cloud Computing and Resource Management; Software System Performance and Reliability; Computer Science</x:v>
      </x:c>
      <x:c r="O166" s="90" t="n">
        <x:v>620</x:v>
      </x:c>
      <x:c r="P166" s="90" t="n">
        <x:v>0</x:v>
      </x:c>
      <x:c r="Q166" s="86" t="str">
        <x:v>gold</x:v>
      </x:c>
      <x:c r="R166" s="87" t="b">
        <x:v>1</x:v>
      </x:c>
      <x:c r="S166" s="88" t="str">
        <x:v>https://www.acm.org/publications/policies/copyright_policy#Background</x:v>
      </x:c>
      <x:c r="T166" s="88" t="str">
        <x:v>Bibliographic record could not be reliably resolved</x:v>
      </x:c>
      <x:c r="U166" s="88" t="str">
        <x:v>unresolved</x:v>
      </x:c>
      <x:c r="V166" s="88" t="str">
        <x:v>Medium</x:v>
      </x:c>
      <x:c r="W166" s="88" t="str">
        <x:v>Crossref title match 80%</x:v>
      </x:c>
      <x:c r="X166" s="88" t="str">
        <x:v>https://doi.org/10.1145/343477.343502</x:v>
      </x:c>
      <x:c r="Y166" s="88" t="str">
        <x:v>https://openalex.org/W2095135670</x:v>
      </x:c>
      <x:c r="Z166" s="88" t="str">
        <x:v>https://www.semanticscholar.org/paper/cf1c70afbd942ff34595052c3438dc3f50a90167</x:v>
      </x:c>
      <x:c r="AA166" s="88" t="str">
        <x:v>Towards robust distributed systems</x:v>
      </x:c>
      <x:c r="AB166" s="88" t="str"/>
      <x:c r="AC166" s="88" t="str">
        <x:v>inproceedings</x:v>
      </x:c>
      <x:c r="AD166" s="88" t="str"/>
    </x:row>
    <x:row r="167" ht="48" customHeight="1">
      <x:c r="A167" s="89" t="n">
        <x:v>166</x:v>
      </x:c>
      <x:c r="B167" s="86" t="str">
        <x:v>gilbert2002brewer</x:v>
      </x:c>
      <x:c r="C167" s="88" t="str">
        <x:v>Brewer's conjecture and the feasibility of consistent, available, partition-tolerant web services</x:v>
      </x:c>
      <x:c r="D167" s="88" t="str">
        <x:v>Seth Gilbert; Nancy Lynch</x:v>
      </x:c>
      <x:c r="E167" s="89" t="n">
        <x:v>2002</x:v>
      </x:c>
      <x:c r="F167" s="88" t="str">
        <x:v>ACM SIGACT News</x:v>
      </x:c>
      <x:c r="G167" s="88" t="str">
        <x:v>Association for Computing Machinery (ACM)</x:v>
      </x:c>
      <x:c r="H167" s="88" t="str">
        <x:v>journal-article</x:v>
      </x:c>
      <x:c r="I167" s="86" t="str">
        <x:v>10.1145/564585.564601</x:v>
      </x:c>
      <x:c r="J167" s="86" t="str">
        <x:v>https://doi.org/10.1145/564585.564601</x:v>
      </x:c>
      <x:c r="K167" s="88" t="str">
        <x:v>When designing distributed web services, there are three properties that are commonly desired: consistency, availability, and partition tolerance. It is impossible to achieve all three. In this note, we prove this conjecture in the asynchronous network model, and then discuss solutions to this dilemma in the partially synchronous model.</x:v>
      </x:c>
      <x:c r="L167" s="88" t="str">
        <x:v>Available</x:v>
      </x:c>
      <x:c r="M167" s="88" t="str">
        <x:v>Crossref</x:v>
      </x:c>
      <x:c r="N167" s="88" t="str">
        <x:v>Distributed systems and fault tolerance; Optimization and Search Problems; Mobile Agent-Based Network Management; Computer Science; Mathematics</x:v>
      </x:c>
      <x:c r="O167" s="90" t="n">
        <x:v>1083</x:v>
      </x:c>
      <x:c r="P167" s="90" t="n">
        <x:v>5</x:v>
      </x:c>
      <x:c r="Q167" s="86" t="str">
        <x:v>closed</x:v>
      </x:c>
      <x:c r="R167" s="87" t="b">
        <x:v>0</x:v>
      </x:c>
      <x:c r="S167" s="88" t="str">
        <x:v>https://www.acm.org/publications/policies/copyright_policy#Background</x:v>
      </x:c>
      <x:c r="T167" s="88" t="str">
        <x:v>Publication matched, but no lawful direct open-access PDF was found</x:v>
      </x:c>
      <x:c r="U167" s="88" t="str">
        <x:v>matched_no_oa_pdf</x:v>
      </x:c>
      <x:c r="V167" s="88" t="str">
        <x:v>High</x:v>
      </x:c>
      <x:c r="W167" s="88" t="str">
        <x:v>DOI resolved in Crossref</x:v>
      </x:c>
      <x:c r="X167" s="88" t="str">
        <x:v>https://doi.org/10.1145/564585.564601</x:v>
      </x:c>
      <x:c r="Y167" s="88" t="str">
        <x:v>https://openalex.org/W2054584570</x:v>
      </x:c>
      <x:c r="Z167" s="88" t="str">
        <x:v>https://www.semanticscholar.org/paper/bbe7a291e74d12d0bcad6f623d8a13e084b83255</x:v>
      </x:c>
      <x:c r="AA167" s="88" t="str">
        <x:v>Brewer's conjecture and the feasibility of consistent, available, partition-tolerant web services</x:v>
      </x:c>
      <x:c r="AB167" s="88" t="str">
        <x:v>10.1145/564585.564601</x:v>
      </x:c>
      <x:c r="AC167" s="88" t="str">
        <x:v>article</x:v>
      </x:c>
      <x:c r="AD167" s="88" t="str"/>
    </x:row>
    <x:row r="168" ht="48" customHeight="1">
      <x:c r="A168" s="89" t="n">
        <x:v>167</x:v>
      </x:c>
      <x:c r="B168" s="86" t="str">
        <x:v>pritchett2008base</x:v>
      </x:c>
      <x:c r="C168" s="88" t="str">
        <x:v>BASE: An Acid Alternative</x:v>
      </x:c>
      <x:c r="D168" s="88" t="str">
        <x:v>Dan Pritchett</x:v>
      </x:c>
      <x:c r="E168" s="89" t="n">
        <x:v>2008</x:v>
      </x:c>
      <x:c r="F168" s="88" t="str">
        <x:v>Queue</x:v>
      </x:c>
      <x:c r="G168" s="88" t="str">
        <x:v>Association for Computing Machinery (ACM)</x:v>
      </x:c>
      <x:c r="H168" s="88" t="str">
        <x:v>journal-article</x:v>
      </x:c>
      <x:c r="I168" s="86" t="str">
        <x:v>10.1145/1394127.1394128</x:v>
      </x:c>
      <x:c r="J168" s="86" t="str">
        <x:v>https://doi.org/10.1145/1394127.1394128</x:v>
      </x:c>
      <x:c r="K168" s="88" t="str">
        <x:v>Web applications have grown in popularity over the past decade. Whether you are building an application for end users or application developers (i.e., services), your hope is most likely that your application will find broad adoption and with broad adoption will come transactional growth. If your application relies upon persistence, then data storage will probably become your bottleneck.</x:v>
      </x:c>
      <x:c r="L168" s="88" t="str">
        <x:v>Available</x:v>
      </x:c>
      <x:c r="M168" s="88" t="str">
        <x:v>Crossref</x:v>
      </x:c>
      <x:c r="N168" s="88" t="str">
        <x:v>Service-Oriented Architecture and Web Services; Computer Science</x:v>
      </x:c>
      <x:c r="O168" s="90" t="n">
        <x:v>203</x:v>
      </x:c>
      <x:c r="P168" s="90" t="n">
        <x:v>2</x:v>
      </x:c>
      <x:c r="Q168" s="86" t="str">
        <x:v>bronze</x:v>
      </x:c>
      <x:c r="R168" s="87" t="b">
        <x:v>1</x:v>
      </x:c>
      <x:c r="S168" s="88" t="str">
        <x:v>https://www.acm.org/publications/policies/copyright_policy#Background</x:v>
      </x:c>
      <x:c r="T168" s="88" t="str">
        <x:v>Publication matched; an OA landing page or metadata record was found, but no downloadable PDF was retrieved</x:v>
      </x:c>
      <x:c r="U168" s="88" t="str">
        <x:v>matched</x:v>
      </x:c>
      <x:c r="V168" s="88" t="str">
        <x:v>High</x:v>
      </x:c>
      <x:c r="W168" s="88" t="str">
        <x:v>DOI resolved in Crossref</x:v>
      </x:c>
      <x:c r="X168" s="88" t="str">
        <x:v>https://doi.org/10.1145/1394127.1394128</x:v>
      </x:c>
      <x:c r="Y168" s="88" t="str">
        <x:v>https://openalex.org/W1964517503</x:v>
      </x:c>
      <x:c r="Z168" s="88" t="str">
        <x:v>https://www.semanticscholar.org/paper/2e72e6c022dd33115304ecfcb6dad7ea609534a4</x:v>
      </x:c>
      <x:c r="AA168" s="88" t="str">
        <x:v>BASE: An ACID alternative</x:v>
      </x:c>
      <x:c r="AB168" s="88" t="str">
        <x:v>10.1145/1394127.1394128</x:v>
      </x:c>
      <x:c r="AC168" s="88" t="str">
        <x:v>article</x:v>
      </x:c>
      <x:c r="AD168" s="88" t="str">
        <x:v>OA location did not return a PDF</x:v>
      </x:c>
    </x:row>
    <x:row r="169" ht="48" customHeight="1">
      <x:c r="A169" s="89" t="n">
        <x:v>168</x:v>
      </x:c>
      <x:c r="B169" s="86" t="str">
        <x:v>ongaro2014raft</x:v>
      </x:c>
      <x:c r="C169" s="88" t="str">
        <x:v>In search of an understandable consensus algorithm</x:v>
      </x:c>
      <x:c r="D169" s="88" t="str">
        <x:v>Diego Ongaro; John K. Ousterhout</x:v>
      </x:c>
      <x:c r="E169" s="89" t="n">
        <x:v>2014</x:v>
      </x:c>
      <x:c r="F169" s="88" t="str">
        <x:v>USENIX Annual Technical Conference</x:v>
      </x:c>
      <x:c r="G169" s="88" t="str"/>
      <x:c r="H169" s="88" t="str">
        <x:v>article</x:v>
      </x:c>
      <x:c r="I169" s="86" t="str"/>
      <x:c r="J169" s="86" t="str"/>
      <x:c r="K169" s="88" t="str">
        <x:v>Raft is a consensus algorithm for managing a replicated log. It produces a result equivalent to (multi-)Paxos, and it is as efficient as Paxos, but its structure is different from Paxos; this makes Raft more understandable than Paxos and also provides a better foundation for build-ing practical systems. In order to enhance understandabil-ity, Raft separates the key elements of consensus, such as leader election, log replication, and safety, and it enforces a stronger degree of coherency to reduce the number of states that must be considered. Results from a user study demonstrate that Raft is easier for students to learn than Paxos. Raft also includes a new mechanism for changing the cluster membership, which uses overlapping majori-ties to guarantee safety. 1</x:v>
      </x:c>
      <x:c r="L169" s="88" t="str">
        <x:v>Available</x:v>
      </x:c>
      <x:c r="M169" s="88" t="str">
        <x:v>OpenAlex</x:v>
      </x:c>
      <x:c r="N169" s="88" t="str">
        <x:v>Distributed systems and fault tolerance; Data Quality and Management; Software System Performance and Reliability</x:v>
      </x:c>
      <x:c r="O169" s="90" t="n">
        <x:v>1484</x:v>
      </x:c>
      <x:c r="P169" s="90"/>
      <x:c r="Q169" s="86" t="str">
        <x:v>closed</x:v>
      </x:c>
      <x:c r="R169" s="87" t="b">
        <x:v>0</x:v>
      </x:c>
      <x:c r="S169" s="88" t="str"/>
      <x:c r="T169" s="88" t="str">
        <x:v>Bibliographic record could not be reliably resolved</x:v>
      </x:c>
      <x:c r="U169" s="88" t="str">
        <x:v>unresolved</x:v>
      </x:c>
      <x:c r="V169" s="88" t="str">
        <x:v>High</x:v>
      </x:c>
      <x:c r="W169" s="88" t="str">
        <x:v>OpenAlex title match 100%</x:v>
      </x:c>
      <x:c r="X169" s="88" t="str"/>
      <x:c r="Y169" s="88" t="str">
        <x:v>https://openalex.org/W2156580773</x:v>
      </x:c>
      <x:c r="Z169" s="88" t="str"/>
      <x:c r="AA169" s="88" t="str">
        <x:v>In search of an understandable consensus algorithm</x:v>
      </x:c>
      <x:c r="AB169" s="88" t="str"/>
      <x:c r="AC169" s="88" t="str">
        <x:v>article</x:v>
      </x:c>
      <x:c r="AD169" s="88" t="str"/>
    </x:row>
    <x:row r="170" ht="48" customHeight="1">
      <x:c r="A170" s="89" t="n">
        <x:v>169</x:v>
      </x:c>
      <x:c r="B170" s="86" t="str">
        <x:v>castro1999practical</x:v>
      </x:c>
      <x:c r="C170" s="88" t="str">
        <x:v>Practical Byzantine fault tolerance</x:v>
      </x:c>
      <x:c r="D170" s="88" t="str">
        <x:v>Miguel Castro; Barbara Liskov</x:v>
      </x:c>
      <x:c r="E170" s="89" t="n">
        <x:v>1999</x:v>
      </x:c>
      <x:c r="F170" s="88" t="str">
        <x:v>Operating Systems Design and Implementation</x:v>
      </x:c>
      <x:c r="G170" s="88" t="str"/>
      <x:c r="H170" s="88" t="str">
        <x:v>article</x:v>
      </x:c>
      <x:c r="I170" s="86" t="str"/>
      <x:c r="J170" s="86" t="str"/>
      <x:c r="K170" s="88" t="str">
        <x:v>This paper describes a new replication algorithm that is able to tolerate Byzantine faults. We believe that Byzantinefault-tolerant algorithms will be increasingly important in the future because malicious attacks and software errors are increasingly common and can cause faulty nodes to exhibit arbitrary behavior. Whereas previous algorithms assumed a synchronous system or were too slow to be used in practice, the algorithm described in this paper is practical: it works in asynchronous environments like the Internet and incorporates several important optimizations that improve the response time of previous algorithms by more than an order of magnitude. We implemented a Byzantine-fault-tolerant NFS service using our algorithm and measured its performance. The results show that our service is only 3% slower than a standard unreplicated NFS.</x:v>
      </x:c>
      <x:c r="L170" s="88" t="str">
        <x:v>Available</x:v>
      </x:c>
      <x:c r="M170" s="88" t="str">
        <x:v>OpenAlex</x:v>
      </x:c>
      <x:c r="N170" s="88" t="str">
        <x:v>Distributed systems and fault tolerance; Cryptography and Data Security; Advanced Data Storage Technologies</x:v>
      </x:c>
      <x:c r="O170" s="90" t="n">
        <x:v>3312</x:v>
      </x:c>
      <x:c r="P170" s="90"/>
      <x:c r="Q170" s="86" t="str">
        <x:v>closed</x:v>
      </x:c>
      <x:c r="R170" s="87" t="b">
        <x:v>0</x:v>
      </x:c>
      <x:c r="S170" s="88" t="str"/>
      <x:c r="T170" s="88" t="str">
        <x:v>Bibliographic record could not be reliably resolved</x:v>
      </x:c>
      <x:c r="U170" s="88" t="str">
        <x:v>unresolved</x:v>
      </x:c>
      <x:c r="V170" s="88" t="str">
        <x:v>High</x:v>
      </x:c>
      <x:c r="W170" s="88" t="str">
        <x:v>OpenAlex title match 100%</x:v>
      </x:c>
      <x:c r="X170" s="88" t="str"/>
      <x:c r="Y170" s="88" t="str">
        <x:v>https://openalex.org/W2126087831</x:v>
      </x:c>
      <x:c r="Z170" s="88" t="str"/>
      <x:c r="AA170" s="88" t="str">
        <x:v>Practical Byzantine fault tolerance</x:v>
      </x:c>
      <x:c r="AB170" s="88" t="str"/>
      <x:c r="AC170" s="88" t="str">
        <x:v>inproceedings</x:v>
      </x:c>
      <x:c r="AD170" s="88" t="str"/>
    </x:row>
    <x:row r="171" ht="48" customHeight="1">
      <x:c r="A171" s="89" t="n">
        <x:v>170</x:v>
      </x:c>
      <x:c r="B171" s="86" t="str">
        <x:v>yin2019hotstuff</x:v>
      </x:c>
      <x:c r="C171" s="88" t="str">
        <x:v>HotStuff</x:v>
      </x:c>
      <x:c r="D171" s="88" t="str">
        <x:v>Maofan Yin; Dahlia Malkhi; Michael K. Reiter; Guy Golan Gueta; Ittai Abraham</x:v>
      </x:c>
      <x:c r="E171" s="89" t="n">
        <x:v>2019</x:v>
      </x:c>
      <x:c r="F171" s="88" t="str">
        <x:v>Proceedings of the 2019 ACM Symposium on Principles of Distributed Computing</x:v>
      </x:c>
      <x:c r="G171" s="88" t="str">
        <x:v>ACM</x:v>
      </x:c>
      <x:c r="H171" s="88" t="str">
        <x:v>proceedings-article</x:v>
      </x:c>
      <x:c r="I171" s="86" t="str">
        <x:v>10.1145/3293611.3331591</x:v>
      </x:c>
      <x:c r="J171" s="86" t="str">
        <x:v>https://doi.org/10.1145/3293611.3331591</x:v>
      </x:c>
      <x:c r="K171" s="88" t="str">
        <x:v>We present HotStuff, a leader-based Byzantine fault-tolerant replication protocol for the partially synchronous model. Once network communication becomes synchronous, HotStuff enables a correct leader to drive the protocol to consensus at the pace of actual (vs. maximum) network delay--a property called responsiveness---and with communication complexity that is linear in the number of replicas. To our knowledge, HotStuff is the first partially synchronous BFT replication protocol exhibiting these combined properties. Its simplicity enables it to be further pipelined and simplified into a practical, concise protocol for building large-scale replication services.</x:v>
      </x:c>
      <x:c r="L171" s="88" t="str">
        <x:v>Available</x:v>
      </x:c>
      <x:c r="M171" s="88" t="str">
        <x:v>OpenAlex</x:v>
      </x:c>
      <x:c r="N171" s="88" t="str">
        <x:v>Distributed systems and fault tolerance; Age of Information Optimization; Advanced Data Storage Technologies; Computer Science</x:v>
      </x:c>
      <x:c r="O171" s="90" t="n">
        <x:v>908</x:v>
      </x:c>
      <x:c r="P171" s="90" t="n">
        <x:v>50</x:v>
      </x:c>
      <x:c r="Q171" s="86" t="str">
        <x:v>gold</x:v>
      </x:c>
      <x:c r="R171" s="87" t="b">
        <x:v>1</x:v>
      </x:c>
      <x:c r="S171" s="88" t="str">
        <x:v>https://creativecommons.org/licenses/by-nc-nd/4.0/</x:v>
      </x:c>
      <x:c r="T171" s="88" t="str">
        <x:v>Publication matched; an OA landing page or metadata record was found, but no downloadable PDF was retrieved</x:v>
      </x:c>
      <x:c r="U171" s="88" t="str">
        <x:v>matched</x:v>
      </x:c>
      <x:c r="V171" s="88" t="str">
        <x:v>High</x:v>
      </x:c>
      <x:c r="W171" s="88" t="str">
        <x:v>DOI resolved in Crossref</x:v>
      </x:c>
      <x:c r="X171" s="88" t="str">
        <x:v>https://doi.org/10.1145/3293611.3331591</x:v>
      </x:c>
      <x:c r="Y171" s="88" t="str">
        <x:v>https://openalex.org/W2964159515</x:v>
      </x:c>
      <x:c r="Z171" s="88" t="str">
        <x:v>https://www.semanticscholar.org/paper/50dd47f615068b0eac1eeed60c91e95549aed3d4</x:v>
      </x:c>
      <x:c r="AA171" s="88" t="str">
        <x:v>HotStuff: BFT consensus with linearity and responsiveness</x:v>
      </x:c>
      <x:c r="AB171" s="88" t="str">
        <x:v>10.1145/3293611.3331591</x:v>
      </x:c>
      <x:c r="AC171" s="88" t="str">
        <x:v>inproceedings</x:v>
      </x:c>
      <x:c r="AD171" s="88" t="str">
        <x:v>OA location did not return a PDF</x:v>
      </x:c>
    </x:row>
    <x:row r="172" ht="48" customHeight="1">
      <x:c r="A172" s="89" t="n">
        <x:v>171</x:v>
      </x:c>
      <x:c r="B172" s="86" t="str">
        <x:v>bessani2014state</x:v>
      </x:c>
      <x:c r="C172" s="88" t="str">
        <x:v>State Machine Replication for the Masses with BFT-SMART</x:v>
      </x:c>
      <x:c r="D172" s="88" t="str">
        <x:v>Alysson Bessani; Joao Sousa; Eduardo E.P. Alchieri</x:v>
      </x:c>
      <x:c r="E172" s="89" t="n">
        <x:v>2014</x:v>
      </x:c>
      <x:c r="F172" s="88" t="str">
        <x:v>2014 44th Annual IEEE/IFIP International Conference on Dependable Systems and Networks</x:v>
      </x:c>
      <x:c r="G172" s="88" t="str">
        <x:v>IEEE</x:v>
      </x:c>
      <x:c r="H172" s="88" t="str">
        <x:v>proceedings-article</x:v>
      </x:c>
      <x:c r="I172" s="86" t="str">
        <x:v>10.1109/dsn.2014.43</x:v>
      </x:c>
      <x:c r="J172" s="86" t="str">
        <x:v>https://doi.org/10.1109/dsn.2014.43</x:v>
      </x:c>
      <x:c r="K172" s="88" t="str">
        <x:v>The last fifteen years have seen an impressive amount of work on protocols for Byzantine fault-tolerant (BFT) state machine replication (SMR). However, there is still a need for practical and reliable software libraries implementing this technique. BFT-SMART is an open-source Java-based library implementing robust BFT state machine replication. Some of the key features of this library that distinguishes it from similar works (e.g., PBFT and UpRight) are improved reliability, modularity as a first-class property, multicore-awareness, reconfiguration support and a flexible programming interface. When compared to other SMR libraries, BFT-SMART achieves better performance and is able to withstand a number of real-world faults that previous implementations cannot.</x:v>
      </x:c>
      <x:c r="L172" s="88" t="str">
        <x:v>Available</x:v>
      </x:c>
      <x:c r="M172" s="88" t="str">
        <x:v>OpenAlex</x:v>
      </x:c>
      <x:c r="N172" s="88" t="str">
        <x:v>Distributed systems and fault tolerance; Parallel Computing and Optimization Techniques; Radiation Effects in Electronics; Computer Science</x:v>
      </x:c>
      <x:c r="O172" s="90" t="n">
        <x:v>391</x:v>
      </x:c>
      <x:c r="P172" s="90" t="n">
        <x:v>21</x:v>
      </x:c>
      <x:c r="Q172" s="86" t="str">
        <x:v>green</x:v>
      </x:c>
      <x:c r="R172" s="87" t="b">
        <x:v>1</x:v>
      </x:c>
      <x:c r="S172" s="88" t="str">
        <x:v>https://doi.org/10.15223/policy-029; https://doi.org/10.15223/policy-037</x:v>
      </x:c>
      <x:c r="T172" s="88" t="str">
        <x:v>Publication matched; an OA landing page or metadata record was found, but no downloadable PDF was retrieved</x:v>
      </x:c>
      <x:c r="U172" s="88" t="str">
        <x:v>matched</x:v>
      </x:c>
      <x:c r="V172" s="88" t="str">
        <x:v>High</x:v>
      </x:c>
      <x:c r="W172" s="88" t="str">
        <x:v>DOI resolved in Crossref</x:v>
      </x:c>
      <x:c r="X172" s="88" t="str">
        <x:v>https://doi.org/10.1109/dsn.2014.43</x:v>
      </x:c>
      <x:c r="Y172" s="88" t="str">
        <x:v>https://openalex.org/W2110880385</x:v>
      </x:c>
      <x:c r="Z172" s="88" t="str">
        <x:v>https://www.semanticscholar.org/paper/249f4f06759ff3f720d9ee44019e03f8ca55e00c</x:v>
      </x:c>
      <x:c r="AA172" s="88" t="str">
        <x:v>State machine replication for the masses with BFT-SMART</x:v>
      </x:c>
      <x:c r="AB172" s="88" t="str">
        <x:v>10.1109/dsn.2014.43</x:v>
      </x:c>
      <x:c r="AC172" s="88" t="str">
        <x:v>article</x:v>
      </x:c>
      <x:c r="AD172" s="88" t="str">
        <x:v>Open-access landing page found, but no direct PDF URL</x:v>
      </x:c>
    </x:row>
    <x:row r="173" ht="48" customHeight="1">
      <x:c r="A173" s="89" t="n">
        <x:v>172</x:v>
      </x:c>
      <x:c r="B173" s="86" t="str">
        <x:v>gonzalez2000energy</x:v>
      </x:c>
      <x:c r="C173" s="88" t="str">
        <x:v>The design space of register renaming techniques</x:v>
      </x:c>
      <x:c r="D173" s="88" t="str">
        <x:v>D. Sima</x:v>
      </x:c>
      <x:c r="E173" s="89" t="n">
        <x:v>2000</x:v>
      </x:c>
      <x:c r="F173" s="88" t="str">
        <x:v>IEEE Micro</x:v>
      </x:c>
      <x:c r="G173" s="88" t="str">
        <x:v>Institute of Electrical and Electronics Engineers (IEEE)</x:v>
      </x:c>
      <x:c r="H173" s="88" t="str">
        <x:v>journal-article</x:v>
      </x:c>
      <x:c r="I173" s="86" t="str">
        <x:v>10.1109/40.877952</x:v>
      </x:c>
      <x:c r="J173" s="86" t="str">
        <x:v>https://doi.org/10.1109/40.877952</x:v>
      </x:c>
      <x:c r="K173" s="88" t="str">
        <x:v>Register renaming is a technique to remove false data dependencie-write after read (WAR) and write after write (WAW)-that occur in straight line code between register operands of subsequent instructions. By eliminating related precedence requirements in the execution sequence of the instructions, renaming increases the average number of instructions that are available for parallel execution per cycle. This results in increased IPC (number of instructions executed per cycle). The identification and exploration of the design space of register-renaming lead to a comprehensive understanding of this intricate technique. As this article shows, the design space of register renaming is spanned by four main dimensions: the scope of register renaming, the layout of the rename buffers, the method of register mapping, and the rename rate. Relevant aspects of the design space give rise to eight basic alternatives for register-renaming. In addition, the kind of operand fetch policy significantly affects how the processor carries out the rename process, which duplicates the eight basic alternatives to 16 possible implementation schemes. The article indicates which basic implementation scheme is used in relevant superscalar processors. As register renaming is usually implemented in conjunction with shelving, the underlying microarchitecture is assumed to employ shelving.</x:v>
      </x:c>
      <x:c r="L173" s="88" t="str">
        <x:v>Available</x:v>
      </x:c>
      <x:c r="M173" s="88" t="str">
        <x:v>OpenAlex</x:v>
      </x:c>
      <x:c r="N173" s="88" t="str">
        <x:v>Parallel Computing and Optimization Techniques; Advanced Data Storage Technologies; Interconnection Networks and Systems; Computer Science</x:v>
      </x:c>
      <x:c r="O173" s="90" t="n">
        <x:v>51</x:v>
      </x:c>
      <x:c r="P173" s="90" t="n">
        <x:v>45</x:v>
      </x:c>
      <x:c r="Q173" s="86" t="str">
        <x:v>closed</x:v>
      </x:c>
      <x:c r="R173" s="87" t="b">
        <x:v>0</x:v>
      </x:c>
      <x:c r="S173" s="88" t="str">
        <x:v>https://ieeexplore.ieee.org/Xplorehelp/downloads/license-information/IEEE.html</x:v>
      </x:c>
      <x:c r="T173" s="88" t="str">
        <x:v>Publication matched, but no lawful direct open-access PDF was found</x:v>
      </x:c>
      <x:c r="U173" s="88" t="str">
        <x:v>matched_no_oa_pdf</x:v>
      </x:c>
      <x:c r="V173" s="88" t="str">
        <x:v>High</x:v>
      </x:c>
      <x:c r="W173" s="88" t="str">
        <x:v>DOI resolved in Crossref</x:v>
      </x:c>
      <x:c r="X173" s="88" t="str">
        <x:v>https://doi.org/10.1109/40.877952</x:v>
      </x:c>
      <x:c r="Y173" s="88" t="str">
        <x:v>https://openalex.org/W2103405122</x:v>
      </x:c>
      <x:c r="Z173" s="88" t="str">
        <x:v>https://www.semanticscholar.org/paper/c6a25111739160e508d98a41ed176b628fd041dc</x:v>
      </x:c>
      <x:c r="AA173" s="88" t="str">
        <x:v>Energy and delay: A metric for early design space exploration</x:v>
      </x:c>
      <x:c r="AB173" s="88" t="str">
        <x:v>10.1109/40.877952</x:v>
      </x:c>
      <x:c r="AC173" s="88" t="str">
        <x:v>article</x:v>
      </x:c>
      <x:c r="AD173" s="88" t="str"/>
    </x:row>
    <x:row r="174" ht="48" customHeight="1">
      <x:c r="A174" s="89" t="n">
        <x:v>173</x:v>
      </x:c>
      <x:c r="B174" s="86" t="str">
        <x:v>lzw_dictionary_size</x:v>
      </x:c>
      <x:c r="C174" s="88" t="str">
        <x:v>What if Dictionary size in LZW algorithm is full?</x:v>
      </x:c>
      <x:c r="D174" s="88" t="str">
        <x:v>Stack Overflow Community</x:v>
      </x:c>
      <x:c r="E174" s="89" t="n">
        <x:v>2016</x:v>
      </x:c>
      <x:c r="F174" s="88" t="str"/>
      <x:c r="G174" s="88" t="str"/>
      <x:c r="H174" s="88" t="str">
        <x:v>misc</x:v>
      </x:c>
      <x:c r="I174" s="86" t="str"/>
      <x:c r="J174" s="86" t="str"/>
      <x:c r="K174" s="88" t="str"/>
      <x:c r="L174" s="88" t="str">
        <x:v>Not available; source may not be a journal paper</x:v>
      </x:c>
      <x:c r="M174" s="88" t="str"/>
      <x:c r="N174" s="88" t="str"/>
      <x:c r="O174" s="90"/>
      <x:c r="P174" s="90"/>
      <x:c r="Q174" s="86" t="str">
        <x:v>unknown</x:v>
      </x:c>
      <x:c r="R174" s="86"/>
      <x:c r="S174" s="88" t="str"/>
      <x:c r="T174" s="88" t="str">
        <x:v>Bibliographic record could not be reliably resolved</x:v>
      </x:c>
      <x:c r="U174" s="88" t="str">
        <x:v>unresolved</x:v>
      </x:c>
      <x:c r="V174" s="88" t="str">
        <x:v>Unverified</x:v>
      </x:c>
      <x:c r="W174" s="88" t="str">
        <x:v>No reliable external match</x:v>
      </x:c>
      <x:c r="X174" s="88" t="str"/>
      <x:c r="Y174" s="88" t="str"/>
      <x:c r="Z174" s="88" t="str"/>
      <x:c r="AA174" s="88" t="str">
        <x:v>What if Dictionary size in LZW algorithm is full?</x:v>
      </x:c>
      <x:c r="AB174" s="88" t="str"/>
      <x:c r="AC174" s="88" t="str">
        <x:v>misc</x:v>
      </x:c>
      <x:c r="AD174" s="88" t="str"/>
    </x:row>
    <x:row r="175" ht="48" customHeight="1">
      <x:c r="A175" s="89" t="n">
        <x:v>174</x:v>
      </x:c>
      <x:c r="B175" s="86" t="str">
        <x:v>lu2022revocation</x:v>
      </x:c>
      <x:c r="C175" s="88" t="str">
        <x:v>Fairledger: a Fair Proof-of-Sequential-Work based Lightweight Distributed Ledger for IoT Networks</x:v>
      </x:c>
      <x:c r="D175" s="88" t="str">
        <x:v>Ronghua Xu; Yu Chen</x:v>
      </x:c>
      <x:c r="E175" s="89" t="n">
        <x:v>2022</x:v>
      </x:c>
      <x:c r="F175" s="88" t="str">
        <x:v>2022 IEEE International Conference on Blockchain (Blockchain)</x:v>
      </x:c>
      <x:c r="G175" s="88" t="str">
        <x:v>IEEE</x:v>
      </x:c>
      <x:c r="H175" s="88" t="str">
        <x:v>proceedings-article</x:v>
      </x:c>
      <x:c r="I175" s="86" t="str">
        <x:v>10.1109/blockchain55522.2022.00055</x:v>
      </x:c>
      <x:c r="J175" s="86" t="str">
        <x:v>https://doi.org/10.1109/blockchain55522.2022.00055</x:v>
      </x:c>
      <x:c r="K175" s="88" t="str">
        <x:v>Blockchain has been recognized as a promising solution to construct a tamper-proof and trust-free decentralized framework for Internet of Things (loT) systems. However, directly applying cryptocurrency-oriented blockchains in loT networks still meets tremendous limitations. Proof-of-Work (PoW) consensus protocol enables a blockchain to achieve pseudonymity, scalability and probabilistic finality in an asynchronous and open-access network environment. The compute-intensive PoW favors nodes possessing more computing power, but fairness is an important requirement in highly heterogeneous loT networks. A blockchain designed for loT edge environments must consider devices with various constraints on computation power. This paper proposes Fairledger, a fair Proof-of-Sequential-Work (PoSW) based lightweight distributed ledger for small-scale, permissioned loT networks. By combining efficient verifiable delay function (eVDF) and Proof-of-Credit (PoC) puzzle, PoSW consensus protocol guarantees fairness by requiring all the miners perform a fixed sequential computing steps to represent PoW for block generation despite their hardware resources. Due to the virtual mining manner of PoSW, Fairledger demonstrates computing efficiency compared to traditional PoW blockchains. In addition, Fairledger is less susceptible to “long-range” and “nothing-at-stake” attacks than Proof-of-Stake (PoS) protocols are. A proof-of-concept prototype is implemented, and the experimental results verify the feasibility of running Fairledger in a physical loT network with higher throughput, less computation and communication cost, and better security guarantees.</x:v>
      </x:c>
      <x:c r="L175" s="88" t="str">
        <x:v>Available</x:v>
      </x:c>
      <x:c r="M175" s="88" t="str">
        <x:v>OpenAlex</x:v>
      </x:c>
      <x:c r="N175" s="88" t="str">
        <x:v>Blockchain Technology Applications and Security; IoT and Edge/Fog Computing; Caching and Content Delivery; Computer Science</x:v>
      </x:c>
      <x:c r="O175" s="90" t="n">
        <x:v>1</x:v>
      </x:c>
      <x:c r="P175" s="90" t="n">
        <x:v>30</x:v>
      </x:c>
      <x:c r="Q175" s="86" t="str">
        <x:v>closed</x:v>
      </x:c>
      <x:c r="R175" s="87" t="b">
        <x:v>0</x:v>
      </x:c>
      <x:c r="S175" s="88" t="str">
        <x:v>https://doi.org/10.15223/policy-029; https://doi.org/10.15223/policy-037</x:v>
      </x:c>
      <x:c r="T175" s="88" t="str">
        <x:v>Bibliographic record could not be reliably resolved</x:v>
      </x:c>
      <x:c r="U175" s="88" t="str">
        <x:v>unresolved</x:v>
      </x:c>
      <x:c r="V175" s="88" t="str">
        <x:v>High</x:v>
      </x:c>
      <x:c r="W175" s="88" t="str">
        <x:v>DOI resolved in Crossref</x:v>
      </x:c>
      <x:c r="X175" s="88" t="str">
        <x:v>https://doi.org/10.1109/blockchain55522.2022.00055</x:v>
      </x:c>
      <x:c r="Y175" s="88" t="str">
        <x:v>https://openalex.org/W4296442515</x:v>
      </x:c>
      <x:c r="Z175" s="88" t="str">
        <x:v>https://www.semanticscholar.org/paper/3dae538251b69279cc093bc98a28e7015181cce5</x:v>
      </x:c>
      <x:c r="AA175" s="88" t="str">
        <x:v>Reducing Revocation Latency in IoV using Edge Computing and Permissioned Blockchain</x:v>
      </x:c>
      <x:c r="AB175" s="88" t="str">
        <x:v>10.1109/blockchain55522.2022.00055</x:v>
      </x:c>
      <x:c r="AC175" s="88" t="str">
        <x:v>inproceedings</x:v>
      </x:c>
      <x:c r="AD175" s="88" t="str"/>
    </x:row>
    <x:row r="176" ht="48" customHeight="1">
      <x:c r="A176" s="89" t="n">
        <x:v>175</x:v>
      </x:c>
      <x:c r="B176" s="86" t="str">
        <x:v>hyperledger2022msp</x:v>
      </x:c>
      <x:c r="C176" s="88" t="str">
        <x:v>MSP Identity Validity Rules</x:v>
      </x:c>
      <x:c r="D176" s="88" t="str">
        <x:v>Hyperledger Fabric Documentation</x:v>
      </x:c>
      <x:c r="E176" s="89" t="n">
        <x:v>2022</x:v>
      </x:c>
      <x:c r="F176" s="88" t="str"/>
      <x:c r="G176" s="88" t="str"/>
      <x:c r="H176" s="88" t="str">
        <x:v>misc</x:v>
      </x:c>
      <x:c r="I176" s="86" t="str"/>
      <x:c r="J176" s="86" t="str"/>
      <x:c r="K176" s="88" t="str"/>
      <x:c r="L176" s="88" t="str">
        <x:v>Not available; source may not be a journal paper</x:v>
      </x:c>
      <x:c r="M176" s="88" t="str"/>
      <x:c r="N176" s="88" t="str"/>
      <x:c r="O176" s="90"/>
      <x:c r="P176" s="90"/>
      <x:c r="Q176" s="86" t="str">
        <x:v>unknown</x:v>
      </x:c>
      <x:c r="R176" s="86"/>
      <x:c r="S176" s="88" t="str"/>
      <x:c r="T176" s="88" t="str">
        <x:v>Bibliographic record could not be reliably resolved</x:v>
      </x:c>
      <x:c r="U176" s="88" t="str">
        <x:v>unresolved</x:v>
      </x:c>
      <x:c r="V176" s="88" t="str">
        <x:v>Unverified</x:v>
      </x:c>
      <x:c r="W176" s="88" t="str">
        <x:v>No reliable external match</x:v>
      </x:c>
      <x:c r="X176" s="88" t="str"/>
      <x:c r="Y176" s="88" t="str"/>
      <x:c r="Z176" s="88" t="str"/>
      <x:c r="AA176" s="88" t="str">
        <x:v>MSP Identity Validity Rules</x:v>
      </x:c>
      <x:c r="AB176" s="88" t="str"/>
      <x:c r="AC176" s="88" t="str">
        <x:v>misc</x:v>
      </x:c>
      <x:c r="AD176" s="88" t="str"/>
    </x:row>
    <x:row r="177" ht="48" customHeight="1">
      <x:c r="A177" s="89" t="n">
        <x:v>176</x:v>
      </x:c>
      <x:c r="B177" s="86" t="str">
        <x:v>beloa2025bitcoincrt</x:v>
      </x:c>
      <x:c r="C177" s="88" t="str">
        <x:v>Enhancing Bitcoin Scalability through Parallel Programming and Chinese Remainder Theorem Optimization with Applications in Agriculture and Healthcare</x:v>
      </x:c>
      <x:c r="D177" s="88" t="str">
        <x:v>Beloa, Forcha Glen</x:v>
      </x:c>
      <x:c r="E177" s="89" t="n">
        <x:v>2025</x:v>
      </x:c>
      <x:c r="F177" s="88" t="str"/>
      <x:c r="G177" s="88" t="str"/>
      <x:c r="H177" s="88" t="str">
        <x:v>unpublished</x:v>
      </x:c>
      <x:c r="I177" s="86" t="str"/>
      <x:c r="J177" s="86" t="str"/>
      <x:c r="K177" s="88" t="str"/>
      <x:c r="L177" s="88" t="str">
        <x:v>Not available; source may not be a journal paper</x:v>
      </x:c>
      <x:c r="M177" s="88" t="str"/>
      <x:c r="N177" s="88" t="str"/>
      <x:c r="O177" s="90"/>
      <x:c r="P177" s="90"/>
      <x:c r="Q177" s="86" t="str">
        <x:v>unknown</x:v>
      </x:c>
      <x:c r="R177" s="86"/>
      <x:c r="S177" s="88" t="str"/>
      <x:c r="T177" s="88" t="str">
        <x:v>Bibliographic record could not be reliably resolved</x:v>
      </x:c>
      <x:c r="U177" s="88" t="str">
        <x:v>unresolved</x:v>
      </x:c>
      <x:c r="V177" s="88" t="str">
        <x:v>Unverified</x:v>
      </x:c>
      <x:c r="W177" s="88" t="str">
        <x:v>No reliable external match</x:v>
      </x:c>
      <x:c r="X177" s="88" t="str"/>
      <x:c r="Y177" s="88" t="str"/>
      <x:c r="Z177" s="88" t="str"/>
      <x:c r="AA177" s="88" t="str">
        <x:v>Enhancing Bitcoin Scalability through Parallel Programming and Chinese Remainder Theorem Optimization with Applications in Agriculture and Healthcare</x:v>
      </x:c>
      <x:c r="AB177" s="88" t="str"/>
      <x:c r="AC177" s="88" t="str">
        <x:v>unpublished</x:v>
      </x:c>
      <x:c r="AD177" s="88" t="str"/>
    </x:row>
    <x:row r="178" ht="48" customHeight="1">
      <x:c r="A178" s="89" t="n">
        <x:v>177</x:v>
      </x:c>
      <x:c r="B178" s="86" t="str">
        <x:v>beloasone2025hrbac</x:v>
      </x:c>
      <x:c r="C178" s="88" t="str">
        <x:v>A Decentralized Hierarchical Role-Based Access Control Framework for Agricultural Edge Internet of Things: Design, Implementation, and 61-Day Field Evaluation</x:v>
      </x:c>
      <x:c r="D178" s="88" t="str">
        <x:v>Beloa, Forcha Glen and Sone, Michael Ekonde and Tagne, Elie Fute and Mvogo Asse, Andr\'e Paul</x:v>
      </x:c>
      <x:c r="E178" s="89" t="n">
        <x:v>2025</x:v>
      </x:c>
      <x:c r="F178" s="88" t="str"/>
      <x:c r="G178" s="88" t="str"/>
      <x:c r="H178" s="88" t="str">
        <x:v>unpublished</x:v>
      </x:c>
      <x:c r="I178" s="86" t="str"/>
      <x:c r="J178" s="86" t="str"/>
      <x:c r="K178" s="88" t="str"/>
      <x:c r="L178" s="88" t="str">
        <x:v>Not available; source may not be a journal paper</x:v>
      </x:c>
      <x:c r="M178" s="88" t="str"/>
      <x:c r="N178" s="88" t="str"/>
      <x:c r="O178" s="90"/>
      <x:c r="P178" s="90"/>
      <x:c r="Q178" s="86" t="str">
        <x:v>unknown</x:v>
      </x:c>
      <x:c r="R178" s="86"/>
      <x:c r="S178" s="88" t="str"/>
      <x:c r="T178" s="88" t="str">
        <x:v>Bibliographic record could not be reliably resolved</x:v>
      </x:c>
      <x:c r="U178" s="88" t="str">
        <x:v>unresolved</x:v>
      </x:c>
      <x:c r="V178" s="88" t="str">
        <x:v>Unverified</x:v>
      </x:c>
      <x:c r="W178" s="88" t="str">
        <x:v>No reliable external match</x:v>
      </x:c>
      <x:c r="X178" s="88" t="str"/>
      <x:c r="Y178" s="88" t="str"/>
      <x:c r="Z178" s="88" t="str"/>
      <x:c r="AA178" s="88" t="str">
        <x:v>A Decentralized Hierarchical Role-Based Access Control Framework for Agricultural Edge Internet of Things: Design, Implementation, and 61-Day Field Evaluation</x:v>
      </x:c>
      <x:c r="AB178" s="88" t="str"/>
      <x:c r="AC178" s="88" t="str">
        <x:v>unpublished</x:v>
      </x:c>
      <x:c r="AD178" s="88" t="str"/>
    </x:row>
  </x:sheetData>
  <x:conditionalFormatting sqref="V2:V178">
    <x:cfRule type="containsText" dxfId="0" priority="1" operator="containsText" text="High"/>
    <x:cfRule type="containsText" dxfId="1" priority="2" operator="containsText" text="Medium"/>
    <x:cfRule type="containsText" dxfId="2" priority="3" operator="containsText" text="Unverified"/>
  </x:conditionalFormatting>
  <x:conditionalFormatting sqref="L2:L178">
    <x:cfRule type="containsText" dxfId="3" priority="4" operator="containsText" text="Available"/>
  </x:conditionalFormatting>
  <x:pageMargins left="0.7" right="0.7" top="0.75" bottom="0.75" header="0.3" footer="0.3"/>
  <x:tableParts count="1">
    <x:tablePart xmlns:r="http://schemas.openxmlformats.org/officeDocument/2006/relationships" r:id="Rf3e69e05d9f54b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48" hidden="0" customWidth="1"/>
    <x:col min="3" max="3" width="28" hidden="0" customWidth="1"/>
    <x:col min="4" max="4" width="9" hidden="0" customWidth="1"/>
    <x:col min="5" max="5" width="28" hidden="0" customWidth="1"/>
    <x:col min="6" max="6" width="18" hidden="0" customWidth="1"/>
    <x:col min="7" max="7" width="28" hidden="0" customWidth="1"/>
    <x:col min="8" max="8" width="16" hidden="0" customWidth="1"/>
    <x:col min="9" max="9" width="85" hidden="0" customWidth="1"/>
    <x:col min="10" max="10" width="42" hidden="0" customWidth="1"/>
    <x:col min="11" max="11" width="45" hidden="0" customWidth="1"/>
  </x:cols>
  <x:sheetData>
    <x:row r="1" ht="32" customHeight="1">
      <x:c r="A1" s="91" t="str">
        <x:v>#</x:v>
      </x:c>
      <x:c r="B1" s="91" t="str">
        <x:v>Title</x:v>
      </x:c>
      <x:c r="C1" s="91" t="str">
        <x:v>DOI</x:v>
      </x:c>
      <x:c r="D1" s="91" t="str">
        <x:v>Year</x:v>
      </x:c>
      <x:c r="E1" s="91" t="str">
        <x:v>Venue</x:v>
      </x:c>
      <x:c r="F1" s="91" t="str">
        <x:v>Verification confidence</x:v>
      </x:c>
      <x:c r="G1" s="91" t="str">
        <x:v>Abstract availability</x:v>
      </x:c>
      <x:c r="H1" s="91" t="str">
        <x:v>Abstract source</x:v>
      </x:c>
      <x:c r="I1" s="91" t="str">
        <x:v>Abstract</x:v>
      </x:c>
      <x:c r="J1" s="91" t="str">
        <x:v>Keywords / topics</x:v>
      </x:c>
      <x:c r="K1" s="91" t="str">
        <x:v>Metadata links</x:v>
      </x:c>
    </x:row>
    <x:row r="2" ht="62" customHeight="1">
      <x:c r="A2" s="86" t="n">
        <x:v>1</x:v>
      </x:c>
      <x:c r="B2" s="88" t="str">
        <x:v>Wireless sensors in agriculture and food industry—Recent development and future perspective</x:v>
      </x:c>
      <x:c r="C2" s="88" t="str">
        <x:v>10.1016/j.compag.2005.09.003</x:v>
      </x:c>
      <x:c r="D2" s="88" t="n">
        <x:v>2006</x:v>
      </x:c>
      <x:c r="E2" s="88" t="str">
        <x:v>Computers and Electronics in Agriculture</x:v>
      </x:c>
      <x:c r="F2" s="88" t="str">
        <x:v>High</x:v>
      </x:c>
      <x:c r="G2" s="88" t="str">
        <x:v>Not found in Crossref/OpenAlex/Semantic Scholar</x:v>
      </x:c>
      <x:c r="H2" s="88" t="str"/>
      <x:c r="I2" s="88" t="str"/>
      <x:c r="J2" s="88" t="str">
        <x:v>Business Strategies and Innovation; Greenhouse Technology and Climate Control; Engineering</x:v>
      </x:c>
      <x:c r="K2" s="88" t="str">
        <x:v>https://doi.org/10.1016/j.compag.2005.09.003 ; https://openalex.org/W1969422238 ; https://www.semanticscholar.org/paper/dbff100467b27e36c564f68850669b7aa803198f</x:v>
      </x:c>
    </x:row>
    <x:row r="3" ht="62" customHeight="1">
      <x:c r="A3" s="86" t="n">
        <x:v>2</x:v>
      </x:c>
      <x:c r="B3" s="88" t="str">
        <x:v>Computer arithmetic: Algorithms and hardware designs</x:v>
      </x:c>
      <x:c r="C3" s="88" t="str">
        <x:v>10.1016/s0898-1221(00)90051-8</x:v>
      </x:c>
      <x:c r="D3" s="88" t="n">
        <x:v>2000</x:v>
      </x:c>
      <x:c r="E3" s="88" t="str">
        <x:v>Computers &amp;amp; Mathematics with Applications</x:v>
      </x:c>
      <x:c r="F3" s="88" t="str">
        <x:v>High</x:v>
      </x:c>
      <x:c r="G3" s="88" t="str">
        <x:v>Available</x:v>
      </x:c>
      <x:c r="H3" s="88" t="str">
        <x:v>OpenAlex</x:v>
      </x:c>
      <x:c r="I3" s="88" t="str">
        <x:v>Ideal for graduate and senior undergraduate courses in computer arithmetic and advanced digital design, Computer Arithmetic: Algorithms and Hardware Designs, Second Edition, provides a balanced, comprehensive treatment of computer arithmetic. It covers topics in arithmetic unit design and circuit implementation that complement the architectural and algorithmic speedup techniques used in high-performance computer architecture and parallel processing. Using a unified and consistent framework, the text begins with number representation and proceeds through basic arithmetic operations, floating-point arithmetic, and function evaluation methods. Later chapters cover broad design and implementation topics-including techniques for high-throughput, low-power, fault-tolerant, and reconfigurable arithmetic. An appendix provides a historical view of the field and speculates on its future.An indispensable resource for instruction, professional development, and research, Computer Arithmetic: Algorithms and Hardware Designs, Second Edition, combines broad coverage of the underlying theories of computer arithmetic with numerous examples of practical designs, worked-out examples, and a large collection of meaningful problems. This second edition includes a new chapter on reconfigurable arithmetic, in order to address the fact that arithmetic functions are increasingly being implemented on field-programmable gate arrays (FPGAs) and FPGA-like configurable devices. Updated and thoroughly revised, the book offers new and expanded coverage of saturating adders and multipliers, truncated multipliers, fused multiply-add units, overlapped quotient digit selection, bipartite and multipartite tables, reversible logic, dot notation, modular arithmetic, Montgomery modular reduction, division by constants, IEEE floating-point standard formats, and interval arithmetic.Features:* Divided into 28 lecture-size chapters * Emphasizes both the underlying theories of computer arithmetic and actual hardware designs * Carefully links computer arithmetic to other subfields of computer engineering * Includes 717 end-of-chapter problems ranging in complexity from simple exercises to mini-projects * Incorporates many examples of practical designs * Uses consistent standardized notation throughout * Instructor's manual includes solutions to text problems * An author-maintained website http://www.ece.ucsb.edu/~parhami/text_comp_arit.htm contains instructor resources, including complete lecture slides</x:v>
      </x:c>
      <x:c r="J3" s="88" t="str">
        <x:v>Quantum Computing Algorithms and Architecture</x:v>
      </x:c>
      <x:c r="K3" s="88" t="str">
        <x:v>https://doi.org/10.1016/s0898-1221(00)90051-8 ; https://openalex.org/W1584008964</x:v>
      </x:c>
    </x:row>
    <x:row r="4" ht="62" customHeight="1">
      <x:c r="A4" s="86" t="n">
        <x:v>3</x:v>
      </x:c>
      <x:c r="B4" s="88" t="str">
        <x:v>Efficient productivity prediction model based on edge data compression in smart farms</x:v>
      </x:c>
      <x:c r="C4" s="88" t="str">
        <x:v>10.1016/j.atech.2025.101242</x:v>
      </x:c>
      <x:c r="D4" s="88" t="n">
        <x:v>2025</x:v>
      </x:c>
      <x:c r="E4" s="88" t="str">
        <x:v>Smart Agricultural Technology</x:v>
      </x:c>
      <x:c r="F4" s="88" t="str">
        <x:v>High</x:v>
      </x:c>
      <x:c r="G4" s="88" t="str">
        <x:v>Available</x:v>
      </x:c>
      <x:c r="H4" s="88" t="str">
        <x:v>OpenAlex</x:v>
      </x:c>
      <x:c r="I4" s="88" t="str">
        <x:v>Amid escalating global farmland degradation alongside rising food demand. Smart farms are playing an increasingly vital role as a key approach to enhancing crop productivity. By integrating Internet of Things (IoT) devices with edge computing, smart farms significantly improve real-time data processing and decision-making capabilities, thereby enhancing agricultural productivity. However, existing smart farms often face challenges, such as inefficiencies and performance bottlenecks, due to the limitations of traditional cloud computing architectures. For providing solutions to the problems existing in current smart farms, such as excessive energy consumption, and redundant data transmission, this paper proposes an adaptive optimization strategy based on priority scheduling and multi-source information fusion. This strategy integrates lightweight edge models and region-aware clippings and compression techniques to reduce data transmission while retaining key agronomic features. Furthermore, the strategy's multi-dimensional resource-aware scheduling and optimized network multiplexing significantly enhance the efficiency of data acquisition and transmission. Meanwhile, a cloud-edge collaborative decision-making model is adopted to accurately analyze crop maturity through real-time processing of heterogeneous data. Experimental results show that under minimal packet loss, the system significantly improves data transmission performance and reasoning reliability. Even under high compression conditions, the precision loss remains at a relatively low level. This study effectively balances data efficiency and analytical precision through advanced edge intelligence, showcasing its feasibility and application potential in resource-constrained agricultural settings. The proposed approach offers a novel solution for precision agriculture, contributing to global food security and sustainable development.</x:v>
      </x:c>
      <x:c r="J4" s="88" t="str">
        <x:v>Smart Agriculture and AI; Food Supply Chain Traceability</x:v>
      </x:c>
      <x:c r="K4" s="88" t="str">
        <x:v>https://doi.org/10.1016/j.atech.2025.101242 ; https://openalex.org/W4413049772 ; https://www.semanticscholar.org/paper/62c9115ea0b02a8c327f21b1d5c807275a2dfa83</x:v>
      </x:c>
    </x:row>
    <x:row r="5" ht="62" customHeight="1">
      <x:c r="A5" s="86" t="n">
        <x:v>4</x:v>
      </x:c>
      <x:c r="B5" s="88" t="str">
        <x:v>A blockchain- and self-sovereign identity-based collaborative framework for secure and verifiable cross-organizational data sharing in smart irrigation</x:v>
      </x:c>
      <x:c r="C5" s="88" t="str">
        <x:v>10.1016/j.atech.2025.101654</x:v>
      </x:c>
      <x:c r="D5" s="88" t="n">
        <x:v>2025</x:v>
      </x:c>
      <x:c r="E5" s="88" t="str">
        <x:v>Smart Agricultural Technology</x:v>
      </x:c>
      <x:c r="F5" s="88" t="str">
        <x:v>High</x:v>
      </x:c>
      <x:c r="G5" s="88" t="str">
        <x:v>Available</x:v>
      </x:c>
      <x:c r="H5" s="88" t="str">
        <x:v>OpenAlex</x:v>
      </x:c>
      <x:c r="I5"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J5" s="88" t="str">
        <x:v>Blockchain Technology Applications and Security; Smart Agriculture and AI; IoT and Edge/Fog Computing</x:v>
      </x:c>
      <x:c r="K5" s="88" t="str">
        <x:v>https://doi.org/10.1016/j.atech.2025.101654 ; https://openalex.org/W4416451026 ; https://www.semanticscholar.org/paper/1a5653e447f1df9cee9400c6c082aecff7fff0a9</x:v>
      </x:c>
    </x:row>
    <x:row r="6" ht="62" customHeight="1">
      <x:c r="A6" s="86" t="n">
        <x:v>5</x:v>
      </x:c>
      <x:c r="B6" s="88" t="str">
        <x:v>A Necessary and Sufficient Condition for the Liveness of Normal Nets</x:v>
      </x:c>
      <x:c r="C6" s="88" t="str">
        <x:v>10.1093/comjnl/bxp118</x:v>
      </x:c>
      <x:c r="D6" s="88" t="n">
        <x:v>2009</x:v>
      </x:c>
      <x:c r="E6" s="88" t="str">
        <x:v>The Computer Journal</x:v>
      </x:c>
      <x:c r="F6" s="88" t="str">
        <x:v>High</x:v>
      </x:c>
      <x:c r="G6" s="88" t="str">
        <x:v>Available</x:v>
      </x:c>
      <x:c r="H6" s="88" t="str">
        <x:v>OpenAlex</x:v>
      </x:c>
      <x:c r="I6" s="88" t="str">
        <x:v>This paper gives a necessary and sufficient condition for the liveness of normal nets, i.e. a normal net with a given initial marking is live if and only if it is structurally repetitive and each minimal siphon is marked in any reachable marking. Furthermore, it is proved that a normal net is structurally live if and only if it is structurally repetitive. Finally, we prove that a weakly persistent net, which is a special normal net, is live for a given initial marking if and only if it is structurally repetitive and each minimal siphon is marked in the initial marking. That is to say, the liveness of weakly persistent nets can be decided by the net structure and the initial marking only.</x:v>
      </x:c>
      <x:c r="J6" s="88" t="str">
        <x:v>Petri Nets in System Modeling; Formal Methods in Verification; Real-Time Systems Scheduling; Mathematics; Computer Science</x:v>
      </x:c>
      <x:c r="K6" s="88" t="str">
        <x:v>https://doi.org/10.1093/comjnl/bxp118 ; https://openalex.org/W2117670924 ; https://www.semanticscholar.org/paper/48474a8bde2f59274a0e882742891662331c0141</x:v>
      </x:c>
    </x:row>
    <x:row r="7" ht="62" customHeight="1">
      <x:c r="A7" s="86" t="n">
        <x:v>6</x:v>
      </x:c>
      <x:c r="B7" s="88" t="str">
        <x:v>Future Directions of Precision Agriculture</x:v>
      </x:c>
      <x:c r="C7" s="88" t="str">
        <x:v>10.1007/s11119-005-0681-8</x:v>
      </x:c>
      <x:c r="D7" s="88" t="n">
        <x:v>2005</x:v>
      </x:c>
      <x:c r="E7" s="88" t="str">
        <x:v>Precision Agriculture</x:v>
      </x:c>
      <x:c r="F7" s="88" t="str">
        <x:v>High</x:v>
      </x:c>
      <x:c r="G7" s="88" t="str">
        <x:v>Not found in Crossref/OpenAlex/Semantic Scholar</x:v>
      </x:c>
      <x:c r="H7" s="88" t="str"/>
      <x:c r="I7" s="88" t="str"/>
      <x:c r="J7" s="88" t="str">
        <x:v>Smart Agriculture and AI; Remote Sensing in Agriculture; Food Supply Chain Traceability; Business</x:v>
      </x:c>
      <x:c r="K7" s="88" t="str">
        <x:v>https://doi.org/10.1007/s11119-005-0681-8 ; https://openalex.org/W2041137640 ; https://www.semanticscholar.org/paper/ca26e27de601999dd60284f201727d1b46725f6a</x:v>
      </x:c>
    </x:row>
    <x:row r="8" ht="62" customHeight="1">
      <x:c r="A8" s="86" t="n">
        <x:v>7</x:v>
      </x:c>
      <x:c r="B8" s="88" t="str">
        <x:v>Precision agriculture—a worldwide overview</x:v>
      </x:c>
      <x:c r="C8" s="88" t="str">
        <x:v>10.1016/s0168-1699(02)00096-0</x:v>
      </x:c>
      <x:c r="D8" s="88" t="n">
        <x:v>2002</x:v>
      </x:c>
      <x:c r="E8" s="88" t="str">
        <x:v>Computers and Electronics in Agriculture</x:v>
      </x:c>
      <x:c r="F8" s="88" t="str">
        <x:v>High</x:v>
      </x:c>
      <x:c r="G8" s="88" t="str">
        <x:v>Not found in Crossref/OpenAlex/Semantic Scholar</x:v>
      </x:c>
      <x:c r="H8" s="88" t="str"/>
      <x:c r="I8" s="88" t="str"/>
      <x:c r="J8" s="88" t="str">
        <x:v>Smart Agriculture and AI; Remote Sensing and Land Use; Remote Sensing in Agriculture; Business</x:v>
      </x:c>
      <x:c r="K8" s="88" t="str">
        <x:v>https://doi.org/10.1016/s0168-1699(02)00096-0 ; https://openalex.org/W2011325105 ; https://www.semanticscholar.org/paper/3e2780df51017956e81f700ffb0225785c3ba90c</x:v>
      </x:c>
    </x:row>
    <x:row r="9" ht="62" customHeight="1">
      <x:c r="A9" s="86" t="n">
        <x:v>8</x:v>
      </x:c>
      <x:c r="B9" s="88" t="str">
        <x:v>Evaluation of a low-cost soil water content sensor for wireless network applications</x:v>
      </x:c>
      <x:c r="C9" s="88" t="str">
        <x:v>10.1016/j.jhydrol.2007.06.032</x:v>
      </x:c>
      <x:c r="D9" s="88" t="n">
        <x:v>2007</x:v>
      </x:c>
      <x:c r="E9" s="88" t="str">
        <x:v>Journal of Hydrology</x:v>
      </x:c>
      <x:c r="F9" s="88" t="str">
        <x:v>High</x:v>
      </x:c>
      <x:c r="G9" s="88" t="str">
        <x:v>Not found in Crossref/OpenAlex/Semantic Scholar</x:v>
      </x:c>
      <x:c r="H9" s="88" t="str"/>
      <x:c r="I9" s="88" t="str"/>
      <x:c r="J9" s="88" t="str">
        <x:v>Soil Moisture and Remote Sensing; Geophysical Methods and Applications; Landslides and related hazards; Geology</x:v>
      </x:c>
      <x:c r="K9" s="88" t="str">
        <x:v>https://doi.org/10.1016/j.jhydrol.2007.06.032 ; https://openalex.org/W2055470561 ; https://www.semanticscholar.org/paper/fb87940188cb9aebc98500d61a96b7ef4682a70b</x:v>
      </x:c>
    </x:row>
    <x:row r="10" ht="62" customHeight="1">
      <x:c r="A10" s="86" t="n">
        <x:v>9</x:v>
      </x:c>
      <x:c r="B10" s="88" t="str">
        <x:v>Aspects of Precision Agriculture</x:v>
      </x:c>
      <x:c r="C10" s="88" t="str">
        <x:v>10.1016/s0065-2113(08)60513-1</x:v>
      </x:c>
      <x:c r="D10" s="88" t="n">
        <x:v>1999</x:v>
      </x:c>
      <x:c r="E10" s="88" t="str">
        <x:v>Advances in Agronomy</x:v>
      </x:c>
      <x:c r="F10" s="88" t="str">
        <x:v>High</x:v>
      </x:c>
      <x:c r="G10" s="88" t="str">
        <x:v>Not available; source may not be a journal paper</x:v>
      </x:c>
      <x:c r="H10" s="88" t="str"/>
      <x:c r="I10" s="88" t="str"/>
      <x:c r="J10" s="88" t="str">
        <x:v>Remote Sensing in Agriculture; Soil Geostatistics and Mapping; Smart Agriculture and AI; Environmental Science</x:v>
      </x:c>
      <x:c r="K10" s="88" t="str">
        <x:v>https://doi.org/10.1016/s0065-2113(08)60513-1 ; https://openalex.org/W1600079720 ; https://www.semanticscholar.org/paper/e31e8a753a9bbd112d4c170c3b3f487a24632d56</x:v>
      </x:c>
    </x:row>
    <x:row r="11" ht="62" customHeight="1">
      <x:c r="A11" s="86" t="n">
        <x:v>10</x:v>
      </x:c>
      <x:c r="B11" s="88" t="str">
        <x:v>Integration of wireless sensor network with variable rate irrigation technology</x:v>
      </x:c>
      <x:c r="C11" s="88" t="str"/>
      <x:c r="D11" s="88" t="n">
        <x:v>2008</x:v>
      </x:c>
      <x:c r="E11" s="88" t="str">
        <x:v>Proceedings of the ASABE Annual International Meeting</x:v>
      </x:c>
      <x:c r="F11" s="88" t="str">
        <x:v>Unverified</x:v>
      </x:c>
      <x:c r="G11" s="88" t="str">
        <x:v>Not found in Crossref/OpenAlex/Semantic Scholar</x:v>
      </x:c>
      <x:c r="H11" s="88" t="str"/>
      <x:c r="I11" s="88" t="str"/>
      <x:c r="J11" s="88" t="str"/>
      <x:c r="K11" s="88" t="str"/>
    </x:row>
    <x:row r="12" ht="62" customHeight="1">
      <x:c r="A12" s="86" t="n">
        <x:v>11</x:v>
      </x:c>
      <x:c r="B12" s="88" t="str">
        <x:v>A comprehensive review of IoT and wireless sensor networks in precision agriculture</x:v>
      </x:c>
      <x:c r="C12" s="88" t="str">
        <x:v>10.1109/access.2021.3129552</x:v>
      </x:c>
      <x:c r="D12" s="88" t="n">
        <x:v>2021</x:v>
      </x:c>
      <x:c r="E12" s="88" t="str">
        <x:v>IEEE Access</x:v>
      </x:c>
      <x:c r="F12" s="88" t="str">
        <x:v>Unverified</x:v>
      </x:c>
      <x:c r="G12" s="88" t="str">
        <x:v>Not found in Crossref/OpenAlex/Semantic Scholar</x:v>
      </x:c>
      <x:c r="H12" s="88" t="str"/>
      <x:c r="I12" s="88" t="str"/>
      <x:c r="J12" s="88" t="str"/>
      <x:c r="K12" s="88" t="str"/>
    </x:row>
    <x:row r="13" ht="62" customHeight="1">
      <x:c r="A13" s="86" t="n">
        <x:v>12</x:v>
      </x:c>
      <x:c r="B13" s="88" t="str">
        <x:v>Live data analytics with collaborative edge and cloud processing in wireless IoT networks</x:v>
      </x:c>
      <x:c r="C13" s="88" t="str">
        <x:v>10.1109/jiot.2020.2977767</x:v>
      </x:c>
      <x:c r="D13" s="88" t="n">
        <x:v>2020</x:v>
      </x:c>
      <x:c r="E13" s="88" t="str">
        <x:v>IEEE Internet of Things Journal</x:v>
      </x:c>
      <x:c r="F13" s="88" t="str">
        <x:v>Unverified</x:v>
      </x:c>
      <x:c r="G13" s="88" t="str">
        <x:v>Not found in Crossref/OpenAlex/Semantic Scholar</x:v>
      </x:c>
      <x:c r="H13" s="88" t="str"/>
      <x:c r="I13" s="88" t="str"/>
      <x:c r="J13" s="88" t="str"/>
      <x:c r="K13" s="88" t="str"/>
    </x:row>
    <x:row r="14" ht="62" customHeight="1">
      <x:c r="A14" s="86" t="n">
        <x:v>13</x:v>
      </x:c>
      <x:c r="B14" s="88" t="str">
        <x:v>Intelligent Edge Computing for IoT-Based Energy Management in Smart Cities</x:v>
      </x:c>
      <x:c r="C14" s="88" t="str">
        <x:v>10.1109/mnet.2019.1800254</x:v>
      </x:c>
      <x:c r="D14" s="88" t="n">
        <x:v>2019</x:v>
      </x:c>
      <x:c r="E14" s="88" t="str">
        <x:v>IEEE Network</x:v>
      </x:c>
      <x:c r="F14" s="88" t="str">
        <x:v>High</x:v>
      </x:c>
      <x:c r="G14" s="88" t="str">
        <x:v>Available</x:v>
      </x:c>
      <x:c r="H14" s="88" t="str">
        <x:v>OpenAlex</x:v>
      </x:c>
      <x:c r="I14" s="88" t="str">
        <x:v>In recent years, green energy management systems (smart grid, smart buildings, and so on) have received huge research and industrial attention with the explosive development of smart cities. By introducing Internet of Things (IoT) technology, smart cities are able to achieve exquisite energy management by ubiquitous monitoring and reliable communications. However, long-term energy efficiency has become an important issue when using an IoT-based network structure. In this article, we focus on designing an IoT-based energy management system based on edge computing infrastructure with deep reinforcement learning. First, an overview of IoT-based energy management in smart cities is described. Then the framework and software model of an IoT-based system with edge computing are proposed. After that, we present an efficient energy scheduling scheme with deep reinforcement learning for the proposed framework. Finally, we illustrate the effectiveness of the proposed scheme.</x:v>
      </x:c>
      <x:c r="J14" s="88" t="str">
        <x:v>Smart Grid Energy Management; Smart Parking Systems Research; IoT and Edge/Fog Computing; Computer Science</x:v>
      </x:c>
      <x:c r="K14" s="88" t="str">
        <x:v>https://doi.org/10.1109/mnet.2019.1800254 ; https://openalex.org/W2926519916 ; https://www.semanticscholar.org/paper/114a3bc81f451c7363d137e88b78dc2e32dfc2c6</x:v>
      </x:c>
    </x:row>
    <x:row r="15" ht="62" customHeight="1">
      <x:c r="A15" s="86" t="n">
        <x:v>14</x:v>
      </x:c>
      <x:c r="B15" s="88" t="str">
        <x:v>Crop yield prediction using machine learning: A systematic literature review</x:v>
      </x:c>
      <x:c r="C15" s="88" t="str">
        <x:v>10.1016/j.compag.2020.105709</x:v>
      </x:c>
      <x:c r="D15" s="88" t="n">
        <x:v>2020</x:v>
      </x:c>
      <x:c r="E15" s="88" t="str">
        <x:v>Computers and Electronics in Agriculture</x:v>
      </x:c>
      <x:c r="F15" s="88" t="str">
        <x:v>High</x:v>
      </x:c>
      <x:c r="G15" s="88" t="str">
        <x:v>Available</x:v>
      </x:c>
      <x:c r="H15" s="88" t="str">
        <x:v>OpenAlex</x:v>
      </x:c>
      <x:c r="I15" s="88" t="str">
        <x:v>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x:v>
      </x:c>
      <x:c r="J15" s="88" t="str">
        <x:v>Smart Agriculture and AI; Hydrological Forecasting Using AI; Greenhouse Technology and Climate Control; Computer Science</x:v>
      </x:c>
      <x:c r="K15" s="88" t="str">
        <x:v>https://doi.org/10.1016/j.compag.2020.105709 ; https://openalex.org/W3079760979 ; https://www.semanticscholar.org/paper/f6d918d1c9b7bb1e45b9ca750bd9618bf8ef4ad7</x:v>
      </x:c>
    </x:row>
    <x:row r="16" ht="62" customHeight="1">
      <x:c r="A16" s="86" t="n">
        <x:v>15</x:v>
      </x:c>
      <x:c r="B16" s="88" t="str">
        <x:v>An IoT based smart irrigation management system using Machine learning and open source technologies</x:v>
      </x:c>
      <x:c r="C16" s="88" t="str">
        <x:v>10.1016/j.compag.2018.09.040</x:v>
      </x:c>
      <x:c r="D16" s="88" t="n">
        <x:v>2018</x:v>
      </x:c>
      <x:c r="E16" s="88" t="str">
        <x:v>Computers and Electronics in Agriculture</x:v>
      </x:c>
      <x:c r="F16" s="88" t="str">
        <x:v>High</x:v>
      </x:c>
      <x:c r="G16" s="88" t="str">
        <x:v>Available</x:v>
      </x:c>
      <x:c r="H16" s="88" t="str">
        <x:v>Semantic Scholar</x:v>
      </x:c>
      <x:c r="I16"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J16" s="88" t="str">
        <x:v>Smart Agriculture and AI; Water Quality Monitoring Technologies; Internet of Things and AI; Computer Science</x:v>
      </x:c>
      <x:c r="K16" s="88" t="str">
        <x:v>https://doi.org/10.1016/j.compag.2018.09.040 ; https://openalex.org/W2896625020 ; https://www.semanticscholar.org/paper/dc367cca9a8c687edb8aa09b7ac3fafc802d0d38</x:v>
      </x:c>
    </x:row>
    <x:row r="17" ht="62" customHeight="1">
      <x:c r="A17" s="86" t="n">
        <x:v>16</x:v>
      </x:c>
      <x:c r="B17" s="88" t="str">
        <x:v>Machine learning approaches for crop yield prediction and nitrogen status estimation in precision agriculture: A review</x:v>
      </x:c>
      <x:c r="C17" s="88" t="str">
        <x:v>10.1016/j.compag.2018.05.012</x:v>
      </x:c>
      <x:c r="D17" s="88" t="n">
        <x:v>2018</x:v>
      </x:c>
      <x:c r="E17" s="88" t="str">
        <x:v>Computers and Electronics in Agriculture</x:v>
      </x:c>
      <x:c r="F17" s="88" t="str">
        <x:v>High</x:v>
      </x:c>
      <x:c r="G17" s="88" t="str">
        <x:v>Available</x:v>
      </x:c>
      <x:c r="H17" s="88" t="str">
        <x:v>Semantic Scholar</x:v>
      </x:c>
      <x:c r="I17" s="88" t="str">
        <x:v>Abstract Accurate yield estimation and optimised nitrogen management is essential in agriculture. Remote sensing (RS) systems are being more widely used in building decision support tools for contemporary farming systems to improve yield production and nitrogen management while reducing operating costs and environmental impact. However, RS based approaches require processing of enormous amounts of remotely sensed data from different platforms and, therefore, greater attention is currently being devoted to machine learning (ML) methods. This is due to the capability of machine learning based systems to process a large number of inputs and handle non-linear tasks. This paper discusses research developments conducted within the last 15 years on machine learning based techniques for accurate crop yield prediction and nitrogen status estimation. The paper concludes that the rapid advances in sensing technologies and ML techniques will provide cost-effective and comprehensive solutions for better crop and environment state estimation and decision making. More targeted application of the sensor platforms and ML techniques, the fusion of different sensor modalities and expert knowledge, and the development of hybrid systems combining different ML and signal processing techniques are all likely to be part of precision agriculture (PA) in the near future.</x:v>
      </x:c>
      <x:c r="J17" s="88" t="str">
        <x:v>Remote Sensing in Agriculture; Smart Agriculture and AI; Remote Sensing and LiDAR Applications; Computer Science</x:v>
      </x:c>
      <x:c r="K17" s="88" t="str">
        <x:v>https://doi.org/10.1016/j.compag.2018.05.012 ; https://openalex.org/W2805142011 ; https://www.semanticscholar.org/paper/78f232ab1d6001acc6c332b75777c0d531d0df0b</x:v>
      </x:c>
    </x:row>
    <x:row r="18" ht="62" customHeight="1">
      <x:c r="A18" s="86" t="n">
        <x:v>17</x:v>
      </x:c>
      <x:c r="B18" s="88" t="str">
        <x:v>A supply chain traceability system for food safety based on HACCP, blockchain &amp;amp; Internet of things</x:v>
      </x:c>
      <x:c r="C18" s="88" t="str">
        <x:v>10.1109/icsssm.2017.7996119</x:v>
      </x:c>
      <x:c r="D18" s="88" t="n">
        <x:v>2017</x:v>
      </x:c>
      <x:c r="E18" s="88" t="str">
        <x:v>2017 International Conference on Service Systems and Service Management</x:v>
      </x:c>
      <x:c r="F18" s="88" t="str">
        <x:v>High</x:v>
      </x:c>
      <x:c r="G18" s="88" t="str">
        <x:v>Available</x:v>
      </x:c>
      <x:c r="H18" s="88" t="str">
        <x:v>OpenAlex</x:v>
      </x:c>
      <x:c r="I18"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J18" s="88" t="str">
        <x:v>Food Supply Chain Traceability; Food Waste Reduction and Sustainability; Food Safety and Hygiene; Computer Science</x:v>
      </x:c>
      <x:c r="K18" s="88" t="str">
        <x:v>https://doi.org/10.1109/icsssm.2017.7996119 ; https://openalex.org/W2740090788 ; https://www.semanticscholar.org/paper/304083f2a7b00d07d7c33883e2e74ac0fd8245c5</x:v>
      </x:c>
    </x:row>
    <x:row r="19" ht="62" customHeight="1">
      <x:c r="A19" s="86" t="n">
        <x:v>18</x:v>
      </x:c>
      <x:c r="B19" s="88" t="str">
        <x:v>Validity of the single processor approach to achieving large scale computing capabilities</x:v>
      </x:c>
      <x:c r="C19" s="88" t="str">
        <x:v>10.1145/1465482.1465560</x:v>
      </x:c>
      <x:c r="D19" s="88" t="n">
        <x:v>1967</x:v>
      </x:c>
      <x:c r="E19" s="88" t="str">
        <x:v>Proceedings of the April 18-20, 1967, spring joint computer conference on - AFIPS '67 (Spring)</x:v>
      </x:c>
      <x:c r="F19" s="88" t="str">
        <x:v>High</x:v>
      </x:c>
      <x:c r="G19" s="88" t="str">
        <x:v>Available</x:v>
      </x:c>
      <x:c r="H19" s="88" t="str">
        <x:v>OpenAlex</x:v>
      </x:c>
      <x:c r="I19" s="88" t="str">
        <x:v>For over a decade prophets have voiced the contention that the organization of a single computer has reached its limits and that truly significant advances can be made only by interconnection of a multiplicity of computers in such a manner as to permit cooperative solution. Variously the proper direction has been pointed out as general purpose computers with a generalized interconnection of memories, or as specialized computers with geometrically related memory interconnections and controlled by one or more instruction streams.</x:v>
      </x:c>
      <x:c r="J19" s="88" t="str">
        <x:v>Parallel Computing and Optimization Techniques; Interconnection Networks and Systems; Computer Science</x:v>
      </x:c>
      <x:c r="K19" s="88" t="str">
        <x:v>https://doi.org/10.1145/1465482.1465560 ; https://openalex.org/W2150871235 ; https://www.semanticscholar.org/paper/24251f02c34f32b1dd96572a1d984c4463a26a10</x:v>
      </x:c>
    </x:row>
    <x:row r="20" ht="62" customHeight="1">
      <x:c r="A20" s="86" t="n">
        <x:v>19</x:v>
      </x:c>
      <x:c r="B20" s="88" t="str">
        <x:v>ESP32 Technical Reference Manual</x:v>
      </x:c>
      <x:c r="C20" s="88" t="str"/>
      <x:c r="D20" s="88" t="n">
        <x:v>2020</x:v>
      </x:c>
      <x:c r="E20" s="88" t="str"/>
      <x:c r="F20" s="88" t="str">
        <x:v>Unverified</x:v>
      </x:c>
      <x:c r="G20" s="88" t="str">
        <x:v>Not available; source may not be a journal paper</x:v>
      </x:c>
      <x:c r="H20" s="88" t="str"/>
      <x:c r="I20" s="88" t="str"/>
      <x:c r="J20" s="88" t="str"/>
      <x:c r="K20" s="88" t="str"/>
    </x:row>
    <x:row r="21" ht="62" customHeight="1">
      <x:c r="A21" s="86" t="n">
        <x:v>20</x:v>
      </x:c>
      <x:c r="B21" s="88" t="str">
        <x:v>Future challenges on the use of blockchain for food traceability analysis</x:v>
      </x:c>
      <x:c r="C21" s="88" t="str">
        <x:v>10.1016/j.trac.2018.08.011</x:v>
      </x:c>
      <x:c r="D21" s="88" t="n">
        <x:v>2018</x:v>
      </x:c>
      <x:c r="E21" s="88" t="str">
        <x:v>TrAC Trends in Analytical Chemistry</x:v>
      </x:c>
      <x:c r="F21" s="88" t="str">
        <x:v>High</x:v>
      </x:c>
      <x:c r="G21" s="88" t="str">
        <x:v>Available</x:v>
      </x:c>
      <x:c r="H21" s="88" t="str">
        <x:v>Semantic Scholar</x:v>
      </x:c>
      <x:c r="I21" s="88" t="str">
        <x:v>Abstract The steady increase in food falsification, which has caused large economic losses and eroded consumers’ trust, has become a pressing issue for producers, researchers, governments, consumers and other stakeholders. Tracking and authenticating the food supply chain to understand provenance is critical with a view to identifying and addressing sources of contamination in the food supply chain worldwide. One way of solving traceability issues and ensuring transparency is by using blockchain technology to store data from chemical analysis in chronological order so that they are impossible to manipulate afterwards. This review examines the potential of blockchain technology for assuring traceability and authenticity in the food supply chain. It can be considered a true innovation and relevant approach to assure the quality of the third step of the analytical processes: data acquisition and management.</x:v>
      </x:c>
      <x:c r="J21" s="88" t="str">
        <x:v>Identification and Quantification in Food; Food Supply Chain Traceability; Advanced Chemical Sensor Technologies; Business</x:v>
      </x:c>
      <x:c r="K21" s="88" t="str">
        <x:v>https://doi.org/10.1016/j.trac.2018.08.011 ; https://openalex.org/W2889403099 ; https://www.semanticscholar.org/paper/420d8eb0d8f9829506a7fef6140b87e045cfb402</x:v>
      </x:c>
    </x:row>
    <x:row r="22" ht="62" customHeight="1">
      <x:c r="A22" s="86" t="n">
        <x:v>21</x:v>
      </x:c>
      <x:c r="B22" s="88" t="str">
        <x:v>Blockchain and IoT based Food Traceability for Smart Agriculture</x:v>
      </x:c>
      <x:c r="C22" s="88" t="str">
        <x:v>10.1145/3265689.3265692</x:v>
      </x:c>
      <x:c r="D22" s="88" t="n">
        <x:v>2018</x:v>
      </x:c>
      <x:c r="E22" s="88" t="str">
        <x:v>Proceedings of the 3rd International Conference on Crowd Science and Engineering</x:v>
      </x:c>
      <x:c r="F22" s="88" t="str">
        <x:v>High</x:v>
      </x:c>
      <x:c r="G22" s="88" t="str">
        <x:v>Available</x:v>
      </x:c>
      <x:c r="H22" s="88" t="str">
        <x:v>OpenAlex</x:v>
      </x:c>
      <x:c r="I22" s="88" t="str">
        <x:v>1Food safety is becoming more and more serious topic worldwide. To tackle the food safety issues from the technical aspect, people need a trusted food traceability system that can track and monitor the whole lifespan of food production, including the processes of food raw material cultivation/breeding, processing, transporting, warehousing, and selling etc. In this paper, we propose a trusted, self-organized, open and ecological food traceability system based on blockchain and Internet of Things (IoT) technologies, which involves all parties of a smart agriculture ecosystem, even if they may not trust each other. We use IoT devices to replace manual recording and verification as many as possible, which can reduce the human intervention to the system effectively. Furthermore, we plan to use the smart contract technology to help the law-executor to find problems and process them timely.</x:v>
      </x:c>
      <x:c r="J22" s="88" t="str">
        <x:v>Food Supply Chain Traceability; Blockchain Technology Applications and Security; IoT and Edge/Fog Computing; Computer Science; Business</x:v>
      </x:c>
      <x:c r="K22" s="88" t="str">
        <x:v>https://doi.org/10.1145/3265689.3265692 ; https://openalex.org/W2896711834 ; https://www.semanticscholar.org/paper/6d5eff0f4dcaf531a6129134119bc9613ce1b657</x:v>
      </x:c>
    </x:row>
    <x:row r="23" ht="62" customHeight="1">
      <x:c r="A23" s="86" t="n">
        <x:v>22</x:v>
      </x:c>
      <x:c r="B23" s="88" t="str">
        <x:v>Object detection and classification from compressed video streams</x:v>
      </x:c>
      <x:c r="C23" s="88" t="str">
        <x:v>10.1111/exsy.13382</x:v>
      </x:c>
      <x:c r="D23" s="88" t="n">
        <x:v>2023</x:v>
      </x:c>
      <x:c r="E23" s="88" t="str">
        <x:v>Expert Systems</x:v>
      </x:c>
      <x:c r="F23" s="88" t="str">
        <x:v>High</x:v>
      </x:c>
      <x:c r="G23" s="88" t="str">
        <x:v>Available</x:v>
      </x:c>
      <x:c r="H23" s="88" t="str">
        <x:v>Crossref</x:v>
      </x:c>
      <x:c r="I23" s="88" t="str">
        <x:v>Abstract Video Analytics is widely used by the internet‐based platforms to govern the mass consumption of videos. Traditionally, it is carried out from the decoded format of the videos. This requires the analytics server to perform both decoding and analytics computation. This process can be made fast and efficient if performed over the compressed format of the videos as it reduces the decoding stress over the analytics server. The field of video analytics from the binarized formats using modern deep learning techniques is still emerging and needs further exploration. This proposed work is based on the same notion. In this work, two analytics tasks that is, classification and object detection are carried out from the binarized videos. The binarized formats are produced by using an already‐designed end‐to‐end video compression network. The experiments have been carried out over standard datasets. The proposed MobileNetv2‐based classification network shows an accuracy of 66% over the YouTube UGC dataset and the YOLOX‐S‐based detection network shows mAP of 45% over IMAGENet datasets. The proposed work shows competitiveness and improvement in the detection outcomes on compressed data and also provides further motivation for the adoption of deep learning‐based video compression in practical analytics domains.</x:v>
      </x:c>
      <x:c r="J23" s="88" t="str">
        <x:v>Video Surveillance and Tracking Methods; Image Enhancement Techniques; Human Pose and Action Recognition; Computer Science</x:v>
      </x:c>
      <x:c r="K23" s="88" t="str">
        <x:v>https://doi.org/10.1111/exsy.13382 ; https://openalex.org/W4382362033 ; https://www.semanticscholar.org/paper/ffcc1162e197832d3a9eccc9a01d0e89c8096994</x:v>
      </x:c>
    </x:row>
    <x:row r="24" ht="62" customHeight="1">
      <x:c r="A24" s="86" t="n">
        <x:v>23</x:v>
      </x:c>
      <x:c r="B24" s="88" t="str">
        <x:v>A review on different types of material joints fabricated by microwave hybrid heating method</x:v>
      </x:c>
      <x:c r="C24" s="88" t="str">
        <x:v>10.1016/j.matpr.2021.06.253</x:v>
      </x:c>
      <x:c r="D24" s="88" t="n">
        <x:v>2022</x:v>
      </x:c>
      <x:c r="E24" s="88" t="str">
        <x:v>Materials Today: Proceedings</x:v>
      </x:c>
      <x:c r="F24" s="88" t="str">
        <x:v>High</x:v>
      </x:c>
      <x:c r="G24" s="88" t="str">
        <x:v>Available</x:v>
      </x:c>
      <x:c r="H24" s="88" t="str">
        <x:v>Semantic Scholar</x:v>
      </x:c>
      <x:c r="I24" s="88" t="str">
        <x:v>Abstract In this paper, literature review on similar and dissimilar joints through microwave hybrid heating has been discussed briefly. A lot of restrictions of the conventional joining methods can be eliminated through microwave hybrid heating joining technique. Microwave hybrid heating also has one more advantage over other conventional processes that it is environment friendly and has good prospects of being adopted in industrial automation. This study discusses impact of different factors on properties of joints formed by microwave hybrid heating. Present study will also give directions to researchers about existing problems and future scope of this joining technique.</x:v>
      </x:c>
      <x:c r="J24" s="88" t="str">
        <x:v>Microwave-Assisted Synthesis and Applications; Advanced ceramic materials synthesis; Aluminum Alloys Composites Properties; Materials Science</x:v>
      </x:c>
      <x:c r="K24" s="88" t="str">
        <x:v>https://doi.org/10.1016/j.matpr.2021.06.253 ; https://openalex.org/W3175867934 ; https://www.semanticscholar.org/paper/0afe241b5fd5b72d824d0936e3c66a3a87af232f</x:v>
      </x:c>
    </x:row>
    <x:row r="25" ht="62" customHeight="1">
      <x:c r="A25" s="86" t="n">
        <x:v>24</x:v>
      </x:c>
      <x:c r="B25" s="88" t="str">
        <x:v>A framework for blockchain-based smart farming system using IoT</x:v>
      </x:c>
      <x:c r="C25" s="88" t="str">
        <x:v>10.1109/access.2022.3142563</x:v>
      </x:c>
      <x:c r="D25" s="88" t="n">
        <x:v>2022</x:v>
      </x:c>
      <x:c r="E25" s="88" t="str">
        <x:v>IEEE Access</x:v>
      </x:c>
      <x:c r="F25" s="88" t="str">
        <x:v>Unverified</x:v>
      </x:c>
      <x:c r="G25" s="88" t="str">
        <x:v>Not found in Crossref/OpenAlex/Semantic Scholar</x:v>
      </x:c>
      <x:c r="H25" s="88" t="str"/>
      <x:c r="I25" s="88" t="str"/>
      <x:c r="J25" s="88" t="str"/>
      <x:c r="K25" s="88" t="str"/>
    </x:row>
    <x:row r="26" ht="62" customHeight="1">
      <x:c r="A26" s="86" t="n">
        <x:v>25</x:v>
      </x:c>
      <x:c r="B26" s="88" t="str">
        <x:v>5G Internet of Things: A survey</x:v>
      </x:c>
      <x:c r="C26" s="88" t="str">
        <x:v>10.1016/j.jii.2018.01.005</x:v>
      </x:c>
      <x:c r="D26" s="88" t="n">
        <x:v>2018</x:v>
      </x:c>
      <x:c r="E26" s="88" t="str">
        <x:v>Journal of Industrial Information Integration</x:v>
      </x:c>
      <x:c r="F26" s="88" t="str">
        <x:v>High</x:v>
      </x:c>
      <x:c r="G26" s="88" t="str">
        <x:v>Available</x:v>
      </x:c>
      <x:c r="H26" s="88" t="str">
        <x:v>Semantic Scholar</x:v>
      </x:c>
      <x:c r="I26" s="88" t="str">
        <x:v>Abstract The existing 4G networks have been widely used in the Internet of Things (IoT) and is continuously evolving to match the needs of the future Internet of Things (IoT) applications. The 5G networks are expected to massive expand today’s IoT that can boost cellular operations, IoT security, and network challenges and driving the Internet future to the edge. The existing IoT solutions are facing a number of challenges such as large number of connection of nodes, security, and new standards. This paper reviews the current research state-of-the-art of 5G IoT, key enabling technologies, and main research trends and challenges in 5G IoT.</x:v>
      </x:c>
      <x:c r="J26" s="88" t="str">
        <x:v>IoT and Edge/Fog Computing; IoT Networks and Protocols; Advanced Wireless Communication Technologies; Computer Science</x:v>
      </x:c>
      <x:c r="K26" s="88" t="str">
        <x:v>https://doi.org/10.1016/j.jii.2018.01.005 ; https://openalex.org/W2790284307 ; https://www.semanticscholar.org/paper/9d9f24f3e85f3eef1c63fa12fff4abfd320cdd08</x:v>
      </x:c>
    </x:row>
    <x:row r="27" ht="62" customHeight="1">
      <x:c r="A27" s="86" t="n">
        <x:v>26</x:v>
      </x:c>
      <x:c r="B27" s="88" t="str">
        <x:v>Partial network coding</x:v>
      </x:c>
      <x:c r="C27" s="88" t="str">
        <x:v>10.1145/1362542.1362545</x:v>
      </x:c>
      <x:c r="D27" s="88" t="n">
        <x:v>2008</x:v>
      </x:c>
      <x:c r="E27" s="88" t="str">
        <x:v>ACM Transactions on Sensor Networks</x:v>
      </x:c>
      <x:c r="F27" s="88" t="str">
        <x:v>High</x:v>
      </x:c>
      <x:c r="G27" s="88" t="str">
        <x:v>Available</x:v>
      </x:c>
      <x:c r="H27" s="88" t="str">
        <x:v>Crossref</x:v>
      </x:c>
      <x:c r="I27" s="88" t="str">
        <x:v>Wireless sensor networks have been widely used for surveillance in harsh environments. In many such applications, the environmental data are continuously sensed, and data collection by a server is only performed occasionally. Hence, the sensor nodes have to temporarily store the data, and provide easy and on-hand access for the most updated data when the server approaches. Given the expensive server-to-sensor communications, the large amount of sensors and the limited storage space at each tiny sensor, continuous data collection becomes a challenging problem. In this article, we present partial network coding (PNC) as a generic tool for these applications. PNC generalizes the existing network coding (NC) paradigm, an elegant solution for ubiquitous data distribution and collection. Yet PNC allows efficient storage replacement for continuous data, which is a deficiency of the conventional NC. We prove that the performance of PNC is quite close to NC, except for a sub-linear overhead on storage and communications. We then address a set of practical concerns toward PNC-based continuous data collection in sensor networks. Its feasibility and superiority are further demonstrated through simulation results.</x:v>
      </x:c>
      <x:c r="J27" s="88" t="str">
        <x:v>Cooperative Communication and Network Coding; Mobile Ad Hoc Networks; Opportunistic and Delay-Tolerant Networks; Computer Science</x:v>
      </x:c>
      <x:c r="K27" s="88" t="str">
        <x:v>https://doi.org/10.1145/1362542.1362545 ; https://openalex.org/W2001769497 ; https://www.semanticscholar.org/paper/631ac02eb3af9ae77bf2eaf7740c24df7d783de6</x:v>
      </x:c>
    </x:row>
    <x:row r="28" ht="62" customHeight="1">
      <x:c r="A28" s="86" t="n">
        <x:v>27</x:v>
      </x:c>
      <x:c r="B28" s="88" t="str">
        <x:v>Thermodynamics and Statistical Physics</x:v>
      </x:c>
      <x:c r="C28" s="88" t="str">
        <x:v>10.1142/2893</x:v>
      </x:c>
      <x:c r="D28" s="88" t="n">
        <x:v>1995</x:v>
      </x:c>
      <x:c r="E28" s="88" t="str">
        <x:v>World Scientific Publishing</x:v>
      </x:c>
      <x:c r="F28" s="88" t="str">
        <x:v>High</x:v>
      </x:c>
      <x:c r="G28" s="88" t="str">
        <x:v>Not found in Crossref/OpenAlex/Semantic Scholar</x:v>
      </x:c>
      <x:c r="H28" s="88" t="str"/>
      <x:c r="I28" s="88" t="str"/>
      <x:c r="J28" s="88" t="str">
        <x:v>Advanced Thermodynamics and Statistical Mechanics; Statistical Mechanics and Entropy</x:v>
      </x:c>
      <x:c r="K28" s="88" t="str">
        <x:v>https://doi.org/10.1142/2893 ; https://openalex.org/W4206816452</x:v>
      </x:c>
    </x:row>
    <x:row r="29" ht="62" customHeight="1">
      <x:c r="A29" s="86" t="n">
        <x:v>28</x:v>
      </x:c>
      <x:c r="B29" s="88" t="str">
        <x:v>The Residue Number System</x:v>
      </x:c>
      <x:c r="C29" s="88" t="str">
        <x:v>10.1109/tec.1959.5219515</x:v>
      </x:c>
      <x:c r="D29" s="88" t="n">
        <x:v>1959</x:v>
      </x:c>
      <x:c r="E29" s="88" t="str">
        <x:v>IEEE Transactions on Electronic Computers</x:v>
      </x:c>
      <x:c r="F29" s="88" t="str">
        <x:v>High</x:v>
      </x:c>
      <x:c r="G29" s="88" t="str">
        <x:v>Available</x:v>
      </x:c>
      <x:c r="H29" s="88" t="str">
        <x:v>OpenAlex</x:v>
      </x:c>
      <x:c r="I29" s="88" t="str">
        <x:v>A novel number system called the residue number system is developed from the linear congruence viewpoint. The residue number system is of particular interest because the arithmetic operations of addition, subtraction and multiplication may be executed in the same period of time without the need for carry. The main difficulties of the residue code pertain to the determination of the relative magnitude of two residue representations, and to the division process. A discussion of the arithmetic operations and the conversion process required to convert from a residue code to a weighted code is given. It is concluded that in its present state the residue code is probably not suitable for general purpose computation but is suitable for a special class of control problems. Further research in both components and arithmetic is required if a residue code suitable for general purpose computation is to be obtained.</x:v>
      </x:c>
      <x:c r="J29" s="88" t="str">
        <x:v>Cryptography and Residue Arithmetic; Cryptographic Implementations and Security; Security and Verification in Computing</x:v>
      </x:c>
      <x:c r="K29" s="88" t="str">
        <x:v>https://doi.org/10.1109/tec.1959.5219515 ; https://openalex.org/W2172184773</x:v>
      </x:c>
    </x:row>
    <x:row r="30" ht="62" customHeight="1">
      <x:c r="A30" s="86" t="n">
        <x:v>29</x:v>
      </x:c>
      <x:c r="B30" s="88" t="str">
        <x:v>Chinese remaindering with errors</x:v>
      </x:c>
      <x:c r="C30" s="88" t="str">
        <x:v>10.1145/301250.301308</x:v>
      </x:c>
      <x:c r="D30" s="88" t="n">
        <x:v>1999</x:v>
      </x:c>
      <x:c r="E30" s="88" t="str">
        <x:v>Proceedings of the 31st Annual ACM Symposium on Theory of Computing</x:v>
      </x:c>
      <x:c r="F30" s="88" t="str">
        <x:v>Unverified</x:v>
      </x:c>
      <x:c r="G30" s="88" t="str">
        <x:v>Not found in Crossref/OpenAlex/Semantic Scholar</x:v>
      </x:c>
      <x:c r="H30" s="88" t="str"/>
      <x:c r="I30" s="88" t="str"/>
      <x:c r="J30" s="88" t="str"/>
      <x:c r="K30" s="88" t="str"/>
    </x:row>
    <x:row r="31" ht="62" customHeight="1">
      <x:c r="A31" s="86" t="n">
        <x:v>30</x:v>
      </x:c>
      <x:c r="B31" s="88" t="str">
        <x:v>A Simple Algorithm for Data Compression in Wireless Sensor Networks</x:v>
      </x:c>
      <x:c r="C31" s="88" t="str">
        <x:v>10.1109/lcomm.2008.080300</x:v>
      </x:c>
      <x:c r="D31" s="88" t="n">
        <x:v>2008</x:v>
      </x:c>
      <x:c r="E31" s="88" t="str">
        <x:v>IEEE Communications Letters</x:v>
      </x:c>
      <x:c r="F31" s="88" t="str">
        <x:v>High</x:v>
      </x:c>
      <x:c r="G31" s="88" t="str">
        <x:v>Available</x:v>
      </x:c>
      <x:c r="H31" s="88" t="str">
        <x:v>OpenAlex</x:v>
      </x:c>
      <x:c r="I31" s="88" t="str">
        <x:v>Power saving is a critical issue in wireless sensor networks (WSNs) since sensor nodes are powered by batteries which cannot be generally changed or recharged. As radio communication is often the main cause of energy consumption, extension of sensor node lifetime is generally achieved by reducing transmissions/receptions of data, for instance through data compression. Exploiting the natural correlation that exists in data typically collected by WSNs and the principles of entropy compression, in this Letter we propose a simple and efficient data compression algorithm particularly suited to be used on available commercial nodes of a WSN, where energy, memory and computational resources are very limited. Some experimental results and comparisons with, to the best of our knowledge, the only lossless compression algorithm previously proposed in the literature to be embedded in sensor nodes and with two well- known compression algorithms are shown and discussed.</x:v>
      </x:c>
      <x:c r="J31" s="88" t="str">
        <x:v>Energy Efficient Wireless Sensor Networks; Energy Harvesting in Wireless Networks; IoT-based Smart Home Systems; Computer Science</x:v>
      </x:c>
      <x:c r="K31" s="88" t="str">
        <x:v>https://doi.org/10.1109/lcomm.2008.080300 ; https://openalex.org/W2148727316 ; https://www.semanticscholar.org/paper/4301478bec1f29bd2d52575e80576897c344c028</x:v>
      </x:c>
    </x:row>
    <x:row r="32" ht="62" customHeight="1">
      <x:c r="A32" s="86" t="n">
        <x:v>31</x:v>
      </x:c>
      <x:c r="B32" s="88" t="str">
        <x:v>Energy-efficient communication protocol for wireless microsensor networks</x:v>
      </x:c>
      <x:c r="C32" s="88" t="str">
        <x:v>10.1109/hicss.2000.926982</x:v>
      </x:c>
      <x:c r="D32" s="88" t="n">
        <x:v>2005</x:v>
      </x:c>
      <x:c r="E32" s="88" t="str">
        <x:v>Proceedings of the 33rd Annual Hawaii International Conference on System Sciences</x:v>
      </x:c>
      <x:c r="F32" s="88" t="str">
        <x:v>High</x:v>
      </x:c>
      <x:c r="G32" s="88" t="str">
        <x:v>Available</x:v>
      </x:c>
      <x:c r="H32" s="88" t="str">
        <x:v>OpenAlex</x:v>
      </x:c>
      <x:c r="I32" s="88" t="str">
        <x:v>Wireless distributed microsensor systems will enable the reliable monitoring of a variety of environments for both civil and military applications. In this paper, we look at communication protocols, which can have significant impact on the overall energy dissipation of these networks. Based on our findings that the conventional protocols of direct transmission, minimum-transmission-energy, multi-hop routing, and static clustering may not be optimal for sensor networks, we propose LEACH (Low-Energy Adaptive Clustering Hierarchy), a clustering-based protocol that utilizes randomized rotation of local cluster based station (cluster-heads) to evenly distribute the energy load among the sensors in the network. LEACH uses localized coordination to enable scalability and robustness for dynamic networks, and incorporates data fusion into the routing protocol to reduce the amount of information that must be transmitted to the base station. Simulations show the LEACH can achieve as much as a factor of 8 reduction in energy dissipation compared with conventional outing protocols. In addition, LEACH is able to distribute energy dissipation evenly throughout the sensors, doubling the useful system lifetime for the networks we simulated.</x:v>
      </x:c>
      <x:c r="J32" s="88" t="str">
        <x:v>Energy Efficient Wireless Sensor Networks; Energy Harvesting in Wireless Networks; Mobile Ad Hoc Networks</x:v>
      </x:c>
      <x:c r="K32" s="88" t="str">
        <x:v>https://doi.org/10.1109/hicss.2000.926982 ; https://openalex.org/W2106335692</x:v>
      </x:c>
    </x:row>
    <x:row r="33" ht="62" customHeight="1">
      <x:c r="A33" s="86" t="n">
        <x:v>32</x:v>
      </x:c>
      <x:c r="B33" s="88" t="str">
        <x:v>Do LoRa Low-Power Wide-Area Networks Scale?</x:v>
      </x:c>
      <x:c r="C33" s="88" t="str">
        <x:v>10.1145/2988287.2989163</x:v>
      </x:c>
      <x:c r="D33" s="88" t="n">
        <x:v>2016</x:v>
      </x:c>
      <x:c r="E33" s="88" t="str">
        <x:v>Proceedings of the 19th ACM International Conference on Modeling, Analysis and Simulation of Wireless and Mobile Systems</x:v>
      </x:c>
      <x:c r="F33" s="88" t="str">
        <x:v>High</x:v>
      </x:c>
      <x:c r="G33" s="88" t="str">
        <x:v>Available</x:v>
      </x:c>
      <x:c r="H33" s="88" t="str">
        <x:v>OpenAlex</x:v>
      </x:c>
      <x:c r="I33" s="88" t="str">
        <x:v>New Internet of Things (IoT) technologies such as Long Range (LoRa) are emerging which enable power efficient wireless communication over very long distances. Devices typically communicate directly to a sink node which removes the need of constructing and maintaining a complex multi-hop network. Given the fact that a wide area is covered and that all devices communicate directly to a few sink nodes a large number of nodes have to share the communication medium. LoRa provides for this reason a range of communication options (centre frequency, spreading factor, bandwidth, coding rates) from which a transmitter can choose. Many combination settings are orthogonal and provide simultaneous collision free communications. Nevertheless, there is a limit regarding the number of transmitters a LoRa system can support. In this paper we investigate the capacity limits of LoRa networks. Using experiments we develop models describing LoRa communication behaviour. We use these models to parameterise a LoRa simulation to study scalability. Our experiments show that a typical smart city deployment can support 120 nodes per 3.8 ha, which is not sufficient for future IoT deployments. LoRa networks can scale quite well, however, if they use dynamic communication parameter selection and/or multiple sinks.</x:v>
      </x:c>
      <x:c r="J33" s="88" t="str">
        <x:v>IoT Networks and Protocols; Energy Harvesting in Wireless Networks; Wireless Body Area Networks; Computer Science</x:v>
      </x:c>
      <x:c r="K33" s="88" t="str">
        <x:v>https://doi.org/10.1145/2988287.2989163 ; https://openalex.org/W2525332113 ; https://www.semanticscholar.org/paper/a8dacf579e390dadd4ff8cadfb1ea80fafa670e1</x:v>
      </x:c>
    </x:row>
    <x:row r="34" ht="62" customHeight="1">
      <x:c r="A34" s="86" t="n">
        <x:v>33</x:v>
      </x:c>
      <x:c r="B34" s="88" t="str">
        <x:v>Performance analysis of LoRa networks for smart agriculture</x:v>
      </x:c>
      <x:c r="C34" s="88" t="str">
        <x:v>10.1109/jiot.2020.2999323</x:v>
      </x:c>
      <x:c r="D34" s="88" t="n">
        <x:v>2020</x:v>
      </x:c>
      <x:c r="E34" s="88" t="str">
        <x:v>IEEE Internet of Things Journal</x:v>
      </x:c>
      <x:c r="F34" s="88" t="str">
        <x:v>Unverified</x:v>
      </x:c>
      <x:c r="G34" s="88" t="str">
        <x:v>Not found in Crossref/OpenAlex/Semantic Scholar</x:v>
      </x:c>
      <x:c r="H34" s="88" t="str"/>
      <x:c r="I34" s="88" t="str"/>
      <x:c r="J34" s="88" t="str"/>
      <x:c r="K34" s="88" t="str"/>
    </x:row>
    <x:row r="35" ht="62" customHeight="1">
      <x:c r="A35" s="86" t="n">
        <x:v>34</x:v>
      </x:c>
      <x:c r="B35" s="88" t="str">
        <x:v>A comprehensive study on LoRa technology for wireless sensor networks</x:v>
      </x:c>
      <x:c r="C35" s="88" t="str"/>
      <x:c r="D35" s="88" t="n">
        <x:v>2017</x:v>
      </x:c>
      <x:c r="E35" s="88" t="str">
        <x:v>International Journal of Advanced Research in Computer Science</x:v>
      </x:c>
      <x:c r="F35" s="88" t="str">
        <x:v>Unverified</x:v>
      </x:c>
      <x:c r="G35" s="88" t="str">
        <x:v>Not found in Crossref/OpenAlex/Semantic Scholar</x:v>
      </x:c>
      <x:c r="H35" s="88" t="str"/>
      <x:c r="I35" s="88" t="str"/>
      <x:c r="J35" s="88" t="str"/>
      <x:c r="K35" s="88" t="str"/>
    </x:row>
    <x:row r="36" ht="62" customHeight="1">
      <x:c r="A36" s="86" t="n">
        <x:v>35</x:v>
      </x:c>
      <x:c r="B36" s="88" t="str">
        <x:v>A survey on wireless mesh networks</x:v>
      </x:c>
      <x:c r="C36" s="88" t="str">
        <x:v>10.1109/mcom.2005.1509968</x:v>
      </x:c>
      <x:c r="D36" s="88" t="n">
        <x:v>2005</x:v>
      </x:c>
      <x:c r="E36" s="88" t="str">
        <x:v>IEEE Communications Magazine</x:v>
      </x:c>
      <x:c r="F36" s="88" t="str">
        <x:v>High</x:v>
      </x:c>
      <x:c r="G36" s="88" t="str">
        <x:v>Available</x:v>
      </x:c>
      <x:c r="H36" s="88" t="str">
        <x:v>OpenAlex</x:v>
      </x:c>
      <x:c r="I36" s="88" t="str">
        <x:v>Wireless mesh networks (WMNs) have emerged as a key technology for next-generation wireless networking. Because of their advantages over other wireless networks, WMNs are undergoing rapid progress and inspiring numerous applications. However, many technical issues still exist in this field. In order to provide a better understanding of the research challenges of WMNs, this article presents a detailed investigation of current state-of-the-art protocols and algorithms for WMNs. Open research issues in all protocol layers are also discussed, with an objective to spark new research interests in this field.</x:v>
      </x:c>
      <x:c r="J36" s="88" t="str">
        <x:v>Mobile Ad Hoc Networks; Cooperative Communication and Network Coding; Opportunistic and Delay-Tolerant Networks; Computer Science</x:v>
      </x:c>
      <x:c r="K36" s="88" t="str">
        <x:v>https://doi.org/10.1109/mcom.2005.1509968 ; https://openalex.org/W2046980951 ; https://www.semanticscholar.org/paper/a6d8dcbaf05ebfe3e86455ecb34d4329d15a37cd</x:v>
      </x:c>
    </x:row>
    <x:row r="37" ht="62" customHeight="1">
      <x:c r="A37" s="86" t="n">
        <x:v>36</x:v>
      </x:c>
      <x:c r="B37" s="88" t="str">
        <x:v>B.A.T.M.A.N. advanced: The new beginning of mesh networking</x:v>
      </x:c>
      <x:c r="C37" s="88" t="str">
        <x:v>10.4108/icst.tridentcom2010.8784</x:v>
      </x:c>
      <x:c r="D37" s="88" t="n">
        <x:v>2010</x:v>
      </x:c>
      <x:c r="E37" s="88" t="str">
        <x:v>Proceedings of the 5th International Conference on Testbeds and Research Infrastructures for the Development of Networks and Communities</x:v>
      </x:c>
      <x:c r="F37" s="88" t="str">
        <x:v>Unverified</x:v>
      </x:c>
      <x:c r="G37" s="88" t="str">
        <x:v>Not found in Crossref/OpenAlex/Semantic Scholar</x:v>
      </x:c>
      <x:c r="H37" s="88" t="str"/>
      <x:c r="I37" s="88" t="str"/>
      <x:c r="J37" s="88" t="str"/>
      <x:c r="K37" s="88" t="str"/>
    </x:row>
    <x:row r="38" ht="62" customHeight="1">
      <x:c r="A38" s="86" t="n">
        <x:v>37</x:v>
      </x:c>
      <x:c r="B38" s="88" t="str">
        <x:v>A Comprehensive Survey on Internet of Things (IoT) Toward 5G Wireless Systems</x:v>
      </x:c>
      <x:c r="C38" s="88" t="str">
        <x:v>10.1109/jiot.2019.2948888</x:v>
      </x:c>
      <x:c r="D38" s="88" t="n">
        <x:v>2020</x:v>
      </x:c>
      <x:c r="E38" s="88" t="str">
        <x:v>IEEE Internet of Things Journal</x:v>
      </x:c>
      <x:c r="F38" s="88" t="str">
        <x:v>High</x:v>
      </x:c>
      <x:c r="G38" s="88" t="str">
        <x:v>Available</x:v>
      </x:c>
      <x:c r="H38" s="88" t="str">
        <x:v>OpenAlex</x:v>
      </x:c>
      <x:c r="I38" s="88" t="str">
        <x:v>Recently, wireless technologies have been growing actively all around the world. In the context of wireless technology, fifth-generation (5G) technology has become a most challenging and interesting topic in wireless research. This article provides an overview of the Internet of Things (IoT) in 5G wireless systems. IoT in the 5G system will be a game changer in the future generation. It will open a door for new wireless architecture and smart services. Recent cellular network LTE (4G) will not be sufficient and efficient to meet the demands of multiple device connectivity and high data rate, more bandwidth, low-latency quality of service (QoS), and low interference. To address these challenges, we consider 5G as the most promising technology. We provide a detailed overview of challenges and vision of various communication industries in 5G IoT systems. The different layers in 5G IoT systems are discussed in detail. This article provides a comprehensive review on emerging and enabling technologies related to the 5G system that enables IoT. We consider the technology drivers for 5G wireless technology, such as 5G new radio (NR), multiple-input-multiple-output antenna with the beamformation technology, mm-wave commutation technology, heterogeneous networks (HetNets), the role of augmented reality (AR) in IoT, which are discussed in detail. We also provide a review on low-power wide-area networks (LPWANs), security challenges, and its control measure in the 5G IoT scenario. This article introduces the role of AR in the 5G IoT scenario. This article also discusses the research gaps and future directions. The focus is also on application areas of IoT in 5G systems. We, therefore, outline some of the important research directions in 5G IoT.</x:v>
      </x:c>
      <x:c r="J38" s="88" t="str">
        <x:v>Advanced Wireless Communication Technologies; IoT Networks and Protocols; Advanced MIMO Systems Optimization; Computer Science</x:v>
      </x:c>
      <x:c r="K38" s="88" t="str">
        <x:v>https://doi.org/10.1109/jiot.2019.2948888 ; https://openalex.org/W2981587265 ; https://www.semanticscholar.org/paper/58df8ecc89886a3d0fa63a847f64f80f4898f639</x:v>
      </x:c>
    </x:row>
    <x:row r="39" ht="62" customHeight="1">
      <x:c r="A39" s="86" t="n">
        <x:v>38</x:v>
      </x:c>
      <x:c r="B39" s="88" t="str">
        <x:v>The blockchain as a software connector</x:v>
      </x:c>
      <x:c r="C39" s="88" t="str">
        <x:v>10.1109/icsa.2016.15</x:v>
      </x:c>
      <x:c r="D39" s="88" t="n">
        <x:v>2016</x:v>
      </x:c>
      <x:c r="E39" s="88" t="str">
        <x:v>Proceedings of the 13th IEEE International Conference on Software Architecture</x:v>
      </x:c>
      <x:c r="F39" s="88" t="str">
        <x:v>Unverified</x:v>
      </x:c>
      <x:c r="G39" s="88" t="str">
        <x:v>Not found in Crossref/OpenAlex/Semantic Scholar</x:v>
      </x:c>
      <x:c r="H39" s="88" t="str"/>
      <x:c r="I39" s="88" t="str"/>
      <x:c r="J39" s="88" t="str"/>
      <x:c r="K39" s="88" t="str"/>
    </x:row>
    <x:row r="40" ht="62" customHeight="1">
      <x:c r="A40" s="86" t="n">
        <x:v>39</x:v>
      </x:c>
      <x:c r="B40" s="88" t="str">
        <x:v>Inherited Vulnerabilities: Javascript Engine V4 secure coding compared to Googles V8</x:v>
      </x:c>
      <x:c r="C40" s="88" t="str">
        <x:v>10.1109/iemcon.2019.8936228</x:v>
      </x:c>
      <x:c r="D40" s="88" t="n">
        <x:v>2019</x:v>
      </x:c>
      <x:c r="E40" s="88" t="str">
        <x:v>2019 IEEE 10th Annual Information Technology, Electronics and Mobile Communication Conference (IEMCON)</x:v>
      </x:c>
      <x:c r="F40" s="88" t="str">
        <x:v>High</x:v>
      </x:c>
      <x:c r="G40" s="88" t="str">
        <x:v>Available</x:v>
      </x:c>
      <x:c r="H40" s="88" t="str">
        <x:v>OpenAlex</x:v>
      </x:c>
      <x:c r="I40" s="88" t="str">
        <x:v>In 2013, the Qt Project announced a move away from Google's V8 JavaScript engine to their own internal V4 JavaScript engine. Despite this, even today Qt still contains a V8 interpretation layer and V8 code in other parts of Qt. This paper aims to investigate why the decision to change interpreters was made and also to evaluate the aspects of Qt interpreted by V4 and what is interpreted by V8. With this defined, differences in secure coding techniques between these systems is examined and highlighted and why these techniques are important in the Qt environment.</x:v>
      </x:c>
      <x:c r="J40" s="88" t="str">
        <x:v>Security and Verification in Computing; Web Application Security Vulnerabilities; Advanced Malware Detection Techniques; Computer Science</x:v>
      </x:c>
      <x:c r="K40" s="88" t="str">
        <x:v>https://doi.org/10.1109/iemcon.2019.8936228 ; https://openalex.org/W2995005108 ; https://www.semanticscholar.org/paper/5f4feaf73f5b85ce17ca8ee5da53f502d3b9ecea</x:v>
      </x:c>
    </x:row>
    <x:row r="41" ht="62" customHeight="1">
      <x:c r="A41" s="86" t="n">
        <x:v>40</x:v>
      </x:c>
      <x:c r="B41" s="88" t="str">
        <x:v>Development of a grain monitoring probe to measure temperature, relative humidity, carbon dioxide levels and logistical information during handling and transportation of soybeans</x:v>
      </x:c>
      <x:c r="C41" s="88" t="str">
        <x:v>10.1016/j.compag.2015.10.008</x:v>
      </x:c>
      <x:c r="D41" s="88" t="n">
        <x:v>2015</x:v>
      </x:c>
      <x:c r="E41" s="88" t="str">
        <x:v>Computers and Electronics in Agriculture</x:v>
      </x:c>
      <x:c r="F41" s="88" t="str">
        <x:v>High</x:v>
      </x:c>
      <x:c r="G41" s="88" t="str">
        <x:v>Not found in Crossref/OpenAlex/Semantic Scholar</x:v>
      </x:c>
      <x:c r="H41" s="88" t="str"/>
      <x:c r="I41" s="88" t="str"/>
      <x:c r="J41" s="88" t="str">
        <x:v>Law, logistics, and international trade; Computer Science; Environmental Science</x:v>
      </x:c>
      <x:c r="K41" s="88" t="str">
        <x:v>https://doi.org/10.1016/j.compag.2015.10.008 ; https://openalex.org/W1858894334 ; https://www.semanticscholar.org/paper/fd7bba6bfdaf1d412623a145f20066b1f3d8612d</x:v>
      </x:c>
    </x:row>
    <x:row r="42" ht="62" customHeight="1">
      <x:c r="A42" s="86" t="n">
        <x:v>41</x:v>
      </x:c>
      <x:c r="B42" s="88" t="str">
        <x:v>The future of food and agriculture: Trends and Challenges</x:v>
      </x:c>
      <x:c r="C42" s="88" t="str"/>
      <x:c r="D42" s="88" t="n">
        <x:v>2017</x:v>
      </x:c>
      <x:c r="E42" s="88" t="str">
        <x:v>HAL (Le Centre pour la Communication Scientifique Directe)</x:v>
      </x:c>
      <x:c r="F42" s="88" t="str">
        <x:v>High</x:v>
      </x:c>
      <x:c r="G42" s="88" t="str">
        <x:v>Available</x:v>
      </x:c>
      <x:c r="H42" s="88" t="str">
        <x:v>OpenAlex</x:v>
      </x:c>
      <x:c r="I42" s="88" t="str">
        <x:v>The report sheds some light on the nature of the challenges that agriculture and food systems are facing now and throughout the 21st century, and provides some insights as to what is at stake and what needs to be done. What emerges is that “business as usual” is no longer an option but calls for major transformations in agricultural systems, in rural economies and in how we manage our natural resources.</x:v>
      </x:c>
      <x:c r="J42" s="88" t="str">
        <x:v>Agricultural Innovations and Practices</x:v>
      </x:c>
      <x:c r="K42" s="88" t="str">
        <x:v>https://openalex.org/W4396596122</x:v>
      </x:c>
    </x:row>
    <x:row r="43" ht="62" customHeight="1">
      <x:c r="A43" s="86" t="n">
        <x:v>42</x:v>
      </x:c>
      <x:c r="B43" s="88" t="str">
        <x:v>Water for a Sustainable World</x:v>
      </x:c>
      <x:c r="C43" s="88" t="str"/>
      <x:c r="D43" s="88" t="n">
        <x:v>2015</x:v>
      </x:c>
      <x:c r="E43" s="88" t="str">
        <x:v>RePEc: Research Papers in Economics</x:v>
      </x:c>
      <x:c r="F43" s="88" t="str">
        <x:v>High</x:v>
      </x:c>
      <x:c r="G43" s="88" t="str">
        <x:v>Available</x:v>
      </x:c>
      <x:c r="H43" s="88" t="str">
        <x:v>OpenAlex</x:v>
      </x:c>
      <x:c r="I43" s="88" t="str">
        <x:v>The 2015 World Water Development Report sets both an aspirational and a realistic vision for the future of water towards 2050. This report comes at a critical moment, when freshwater resources face rising pressure to provide for the social, economic and environmental needs of a growing world population. 2015 is also a year of high expectations and hopes, as the deadline for the Millennium Development Goals, and when States will define a new global sustainable development agenda to follow.</x:v>
      </x:c>
      <x:c r="J43" s="88" t="str">
        <x:v>Water resources management and optimization; Transboundary Water Resource Management; Water-Energy-Food Nexus Studies</x:v>
      </x:c>
      <x:c r="K43" s="88" t="str">
        <x:v>https://openalex.org/W2410221956</x:v>
      </x:c>
    </x:row>
    <x:row r="44" ht="62" customHeight="1">
      <x:c r="A44" s="86" t="n">
        <x:v>43</x:v>
      </x:c>
      <x:c r="B44" s="88" t="str">
        <x:v>National Water Strategy 2050</x:v>
      </x:c>
      <x:c r="C44" s="88" t="str"/>
      <x:c r="D44" s="88" t="n">
        <x:v>2022</x:v>
      </x:c>
      <x:c r="E44" s="88" t="str"/>
      <x:c r="F44" s="88" t="str">
        <x:v>Unverified</x:v>
      </x:c>
      <x:c r="G44" s="88" t="str">
        <x:v>Not available; source may not be a journal paper</x:v>
      </x:c>
      <x:c r="H44" s="88" t="str"/>
      <x:c r="I44" s="88" t="str"/>
      <x:c r="J44" s="88" t="str"/>
      <x:c r="K44" s="88" t="str"/>
    </x:row>
    <x:row r="45" ht="62" customHeight="1">
      <x:c r="A45" s="86" t="n">
        <x:v>44</x:v>
      </x:c>
      <x:c r="B45" s="88" t="str">
        <x:v>Capsicum Production and Quality: A Review</x:v>
      </x:c>
      <x:c r="C45" s="88" t="str">
        <x:v>10.21273/hortsci15060-20</x:v>
      </x:c>
      <x:c r="D45" s="88" t="n">
        <x:v>2020</x:v>
      </x:c>
      <x:c r="E45" s="88" t="str">
        <x:v>HortScience</x:v>
      </x:c>
      <x:c r="F45" s="88" t="str">
        <x:v>Unverified</x:v>
      </x:c>
      <x:c r="G45" s="88" t="str">
        <x:v>Not found in Crossref/OpenAlex/Semantic Scholar</x:v>
      </x:c>
      <x:c r="H45" s="88" t="str"/>
      <x:c r="I45" s="88" t="str"/>
      <x:c r="J45" s="88" t="str"/>
      <x:c r="K45" s="88" t="str"/>
    </x:row>
    <x:row r="46" ht="62" customHeight="1">
      <x:c r="A46" s="86" t="n">
        <x:v>45</x:v>
      </x:c>
      <x:c r="B46" s="88" t="str">
        <x:v>Good Agricultural Practices for Greenhouse Tomato Production</x:v>
      </x:c>
      <x:c r="C46" s="88" t="str"/>
      <x:c r="D46" s="88" t="n">
        <x:v>2013</x:v>
      </x:c>
      <x:c r="E46" s="88" t="str"/>
      <x:c r="F46" s="88" t="str">
        <x:v>Unverified</x:v>
      </x:c>
      <x:c r="G46" s="88" t="str">
        <x:v>Not available; source may not be a journal paper</x:v>
      </x:c>
      <x:c r="H46" s="88" t="str"/>
      <x:c r="I46" s="88" t="str"/>
      <x:c r="J46" s="88" t="str"/>
      <x:c r="K46" s="88" t="str"/>
    </x:row>
    <x:row r="47" ht="62" customHeight="1">
      <x:c r="A47" s="86" t="n">
        <x:v>46</x:v>
      </x:c>
      <x:c r="B47" s="88" t="str">
        <x:v>Assessing blockchain and IoT technologies for agricultural food supply chains in Africa: A feasibility analysis</x:v>
      </x:c>
      <x:c r="C47" s="88" t="str">
        <x:v>10.1016/j.heliyon.2024.e34584</x:v>
      </x:c>
      <x:c r="D47" s="88" t="n">
        <x:v>2024</x:v>
      </x:c>
      <x:c r="E47" s="88" t="str">
        <x:v>Heliyon</x:v>
      </x:c>
      <x:c r="F47" s="88" t="str">
        <x:v>High</x:v>
      </x:c>
      <x:c r="G47" s="88" t="str">
        <x:v>Available</x:v>
      </x:c>
      <x:c r="H47" s="88" t="str">
        <x:v>OpenAlex</x:v>
      </x:c>
      <x:c r="I47" s="88" t="str">
        <x:v>This review paper delves into the global agricultural food supply chains through the lens of African perspectives, examining the role of blockchain and Internet of Things (IoT) technologies in transforming food traceability. It assesses the applicability and efficacy of these innovations in addressing critical issues such as food fraud, contamination, and systemic inefficiencies from an African viewpoint. By engaging in an in-depth analysis of relevant studies, this work dissects the technical, economic, legal, and operational facets of employing blockchain and IoT in the agri-food sector. The findings illuminate the transformative potential these technologies hold for enhancing food safety and transparency across supply chains. However, the review also brings to light significant hurdles related to scalability, cost-effectiveness, and regulatory frameworks that must be surmounted. Advocating for a context-sensitive application of blockchain and IoT, the paper highlights the importance of adapting these technologies to fit the diverse socio-economic and infrastructural realities prevalent in African countries. Offering valuable insights to stakeholders in agricultural technology and food safety, this comprehensive review outlines a roadmap for future research and strategic implementation efforts aimed at leveraging blockchain and IoT for the development of secure, sustainable food systems.</x:v>
      </x:c>
      <x:c r="J47" s="88" t="str">
        <x:v>Blockchain Technology Applications and Security; Food Waste Reduction and Sustainability; Food Supply Chain Traceability; Medicine</x:v>
      </x:c>
      <x:c r="K47" s="88" t="str">
        <x:v>https://doi.org/10.1016/j.heliyon.2024.e34584 ; https://openalex.org/W4401267226 ; https://www.semanticscholar.org/paper/baadd2654403d7b020c36448f198e4a3953e3251</x:v>
      </x:c>
    </x:row>
    <x:row r="48" ht="62" customHeight="1">
      <x:c r="A48" s="86" t="n">
        <x:v>47</x:v>
      </x:c>
      <x:c r="B48" s="88" t="str">
        <x:v>Blockchain‐Empowered H‐CPS Architecture for Smart Agriculture</x:v>
      </x:c>
      <x:c r="C48" s="88" t="str">
        <x:v>10.1002/advs.202503102</x:v>
      </x:c>
      <x:c r="D48" s="88" t="n">
        <x:v>2025</x:v>
      </x:c>
      <x:c r="E48" s="88" t="str">
        <x:v>Advanced Science</x:v>
      </x:c>
      <x:c r="F48" s="88" t="str">
        <x:v>High</x:v>
      </x:c>
      <x:c r="G48" s="88" t="str">
        <x:v>Available</x:v>
      </x:c>
      <x:c r="H48" s="88" t="str">
        <x:v>Crossref</x:v>
      </x:c>
      <x:c r="I48" s="88" t="str">
        <x:v>Abstract This study integrates blockchain technology into smart agriculture to enhance its productivity and sustainability. By combining blockchain with remote sensing, artificial intelligence (AI), and the Internet of Things (IoT), a Human‐Cyber‐Physical System (H‐CPS) architecture tailored for agricultural applications is proposed. It supports real‐time crop management, data‐driven decision‐making, and transparent trading of agricultural products. A semantic‐based blockchain framework is introduced to address challenges in data management and AI model integration, optimizing production, improving traceability, reducing costs, and enhancing financial security. This framework directly addresses real‐world agricultural challenges, such as optimized irrigation, improved crop breeding efficiency, and enhanced supply chain transparency. These innovations provide practical solutions for modern agriculture, contributing to sustainable development and global food security. Further research and collaboration are encouraged to unlock its full potential in transforming agricultural practices.</x:v>
      </x:c>
      <x:c r="J48" s="88" t="str">
        <x:v>Blockchain Technology Applications and Security; Smart Agriculture and AI; IoT and Edge/Fog Computing; Medicine</x:v>
      </x:c>
      <x:c r="K48" s="88" t="str">
        <x:v>https://doi.org/10.1002/advs.202503102 ; https://openalex.org/W4409794853 ; https://www.semanticscholar.org/paper/f23b101ef3704fa66d468d5d9b84db535d16f66c</x:v>
      </x:c>
    </x:row>
    <x:row r="49" ht="62" customHeight="1">
      <x:c r="A49" s="86" t="n">
        <x:v>48</x:v>
      </x:c>
      <x:c r="B49" s="88" t="str">
        <x:v>LoRaWAN based internet of things (IoT) system for precision irrigation in plasticulture fresh-market tomato</x:v>
      </x:c>
      <x:c r="C49" s="88" t="str">
        <x:v>10.1016/j.atech.2022.100053</x:v>
      </x:c>
      <x:c r="D49" s="88" t="n">
        <x:v>2022</x:v>
      </x:c>
      <x:c r="E49" s="88" t="str">
        <x:v>Smart Agricultural Technology</x:v>
      </x:c>
      <x:c r="F49" s="88" t="str">
        <x:v>High</x:v>
      </x:c>
      <x:c r="G49" s="88" t="str">
        <x:v>Available</x:v>
      </x:c>
      <x:c r="H49" s="88" t="str">
        <x:v>OpenAlex</x:v>
      </x:c>
      <x:c r="I49" s="88" t="str">
        <x:v>Precision irrigation with sensors has proven to be effective for water saving in crop production. An Internet of Things (IoT) system is necessary for monitoring real-time data from sensors and automating irrigation systems. Long-range wide-area network (LoRaWAN), a type of low-power wide-area network (LPWAN), is a low-cost and easily implemented IoT system which can be used for precision crop irrigation. In this study, a LoRaWAN based IoT system was developed and evaluated as a precision irrigation tool on fresh-market tomato production in a plasticulture system. Four irrigation scheduling treatments were designed and tested, including irrigation based on crop evapotranspiration (ET), soil matric potential sensors (Watermark 200SS-5) at -60 kPa (MP60) or -40 kPa (MP40), and GesCoN fertigation decision support system (DSS). The treatments were arranged based on a randomized complete block design with four replicates. System feasibility, irrigation water use efficiency (iWUE), and crop yield were evaluated. Throughout the season, the overall water use efficiencies were 22.2, 26.5, 27.9, and 28.4 kg·m−3 for ET, MP60, MP40, and GesCoN, respectively. The results indicated that treatment MP60 and GesCoN had 15.2 and 22.1% higher marketable fruit yield than ET, while, MP40 had 12.5% lower marketable yield compared to ET. Overall, the LoRaWAN-based IoT system performed well in terms of power consumption, communication, sensor reading, and valve control. These results suggested that the IoT system can be implemented for precision and automatic irrigation operations for vegetable and other horticultural crops with enhancing crop's water use efficiency and sustainability.</x:v>
      </x:c>
      <x:c r="J49" s="88" t="str">
        <x:v>Smart Agriculture and AI; Irrigation Practices and Water Management; IoT Networks and Protocols</x:v>
      </x:c>
      <x:c r="K49" s="88" t="str">
        <x:v>https://doi.org/10.1016/j.atech.2022.100053 ; https://openalex.org/W4224286801 ; https://www.semanticscholar.org/paper/975af979ede5aad7fb8bebb3775ae2cb6d19accb</x:v>
      </x:c>
    </x:row>
    <x:row r="50" ht="62" customHeight="1">
      <x:c r="A50" s="86" t="n">
        <x:v>49</x:v>
      </x:c>
      <x:c r="B50" s="88" t="str">
        <x:v>IoT-enabled LoRaWAN gateway for monitoring and predicting spatial environmental parameters in smart greenhouses: A review</x:v>
      </x:c>
      <x:c r="C50" s="88" t="str">
        <x:v>10.22765/pastj.20250003</x:v>
      </x:c>
      <x:c r="D50" s="88" t="n">
        <x:v>2025</x:v>
      </x:c>
      <x:c r="E50" s="88" t="str">
        <x:v>Precision Agriculture Science and Technology</x:v>
      </x:c>
      <x:c r="F50" s="88" t="str">
        <x:v>Unverified</x:v>
      </x:c>
      <x:c r="G50" s="88" t="str">
        <x:v>Not found in Crossref/OpenAlex/Semantic Scholar</x:v>
      </x:c>
      <x:c r="H50" s="88" t="str"/>
      <x:c r="I50" s="88" t="str"/>
      <x:c r="J50" s="88" t="str"/>
      <x:c r="K50" s="88" t="str"/>
    </x:row>
    <x:row r="51" ht="62" customHeight="1">
      <x:c r="A51" s="86" t="n">
        <x:v>50</x:v>
      </x:c>
      <x:c r="B51" s="88" t="str">
        <x:v>Evaluation and Performance Analysis of Chinese Remainder Theorem and Its Application to Lossless Image Compression</x:v>
      </x:c>
      <x:c r="C51" s="88" t="str">
        <x:v>10.5120/ijca2021921556</x:v>
      </x:c>
      <x:c r="D51" s="88" t="n">
        <x:v>2021</x:v>
      </x:c>
      <x:c r="E51" s="88" t="str">
        <x:v>International Journal of Computer Applications</x:v>
      </x:c>
      <x:c r="F51" s="88" t="str">
        <x:v>Unverified</x:v>
      </x:c>
      <x:c r="G51" s="88" t="str">
        <x:v>Not found in Crossref/OpenAlex/Semantic Scholar</x:v>
      </x:c>
      <x:c r="H51" s="88" t="str"/>
      <x:c r="I51" s="88" t="str"/>
      <x:c r="J51" s="88" t="str"/>
      <x:c r="K51" s="88" t="str"/>
    </x:row>
    <x:row r="52" ht="62" customHeight="1">
      <x:c r="A52" s="86" t="n">
        <x:v>51</x:v>
      </x:c>
      <x:c r="B52" s="88" t="str">
        <x:v>An extended overlap-add method and -save method for sampling rate conversion</x:v>
      </x:c>
      <x:c r="C52" s="88" t="str">
        <x:v>10.1109/iscas.1994.408967</x:v>
      </x:c>
      <x:c r="D52" s="88" t="n">
        <x:v>2002</x:v>
      </x:c>
      <x:c r="E52" s="88" t="str">
        <x:v>Proceedings of IEEE International Symposium on Circuits and Systems - ISCAS '94</x:v>
      </x:c>
      <x:c r="F52" s="88" t="str">
        <x:v>High</x:v>
      </x:c>
      <x:c r="G52" s="88" t="str">
        <x:v>Available</x:v>
      </x:c>
      <x:c r="H52" s="88" t="str">
        <x:v>OpenAlex</x:v>
      </x:c>
      <x:c r="I52" s="88" t="str">
        <x:v>The overlap-add method (OLA) and overlap-save method (OLS) are well known as efficient schemes for high-order FIR filtering. In this paper, new sampling rate conversion methods are proposed by extending the OLA and OLS, and eliminating the redundancy caused by the conversion. First, for finite-duration sequences, a rate conversion with the DFT-domain approach is discussed. Next, using the result, the extended OLA and OLS are proposed for infinite-duration sequences. Finally, the computation complexities of our proposed methods are shown.&gt;</x:v>
      </x:c>
      <x:c r="J52" s="88" t="str">
        <x:v>Digital Filter Design and Implementation; Image and Signal Denoising Methods; Advanced Adaptive Filtering Techniques; Mathematics; Computer Science</x:v>
      </x:c>
      <x:c r="K52" s="88" t="str">
        <x:v>https://doi.org/10.1109/iscas.1994.408967 ; https://openalex.org/W1541575153 ; https://www.semanticscholar.org/paper/e47683279d5cbcb2c1c3ce9705041dd721edaff0</x:v>
      </x:c>
    </x:row>
    <x:row r="53" ht="62" customHeight="1">
      <x:c r="A53" s="86" t="n">
        <x:v>52</x:v>
      </x:c>
      <x:c r="B53" s="88" t="str">
        <x:v>Improving lifetime in wireless sensor networks using the Residue Number System</x:v>
      </x:c>
      <x:c r="C53" s="88" t="str">
        <x:v>10.1049/iet-wss.2013.0025</x:v>
      </x:c>
      <x:c r="D53" s="88" t="n">
        <x:v>2014</x:v>
      </x:c>
      <x:c r="E53" s="88" t="str">
        <x:v>IET Wireless Sensor Systems</x:v>
      </x:c>
      <x:c r="F53" s="88" t="str">
        <x:v>Unverified</x:v>
      </x:c>
      <x:c r="G53" s="88" t="str">
        <x:v>Not found in Crossref/OpenAlex/Semantic Scholar</x:v>
      </x:c>
      <x:c r="H53" s="88" t="str"/>
      <x:c r="I53" s="88" t="str"/>
      <x:c r="J53" s="88" t="str"/>
      <x:c r="K53" s="88" t="str"/>
    </x:row>
    <x:row r="54" ht="62" customHeight="1">
      <x:c r="A54" s="86" t="n">
        <x:v>53</x:v>
      </x:c>
      <x:c r="B54" s="88" t="str">
        <x:v>A survey on wireless mesh networks</x:v>
      </x:c>
      <x:c r="C54" s="88" t="str">
        <x:v>10.1109/mcom.2005.1509968</x:v>
      </x:c>
      <x:c r="D54" s="88" t="n">
        <x:v>2005</x:v>
      </x:c>
      <x:c r="E54" s="88" t="str">
        <x:v>IEEE Communications Magazine</x:v>
      </x:c>
      <x:c r="F54" s="88" t="str">
        <x:v>High</x:v>
      </x:c>
      <x:c r="G54" s="88" t="str">
        <x:v>Available</x:v>
      </x:c>
      <x:c r="H54" s="88" t="str">
        <x:v>OpenAlex</x:v>
      </x:c>
      <x:c r="I54" s="88" t="str">
        <x:v>Wireless mesh networks (WMNs) have emerged as a key technology for next-generation wireless networking. Because of their advantages over other wireless networks, WMNs are undergoing rapid progress and inspiring numerous applications. However, many technical issues still exist in this field. In order to provide a better understanding of the research challenges of WMNs, this article presents a detailed investigation of current state-of-the-art protocols and algorithms for WMNs. Open research issues in all protocol layers are also discussed, with an objective to spark new research interests in this field.</x:v>
      </x:c>
      <x:c r="J54" s="88" t="str">
        <x:v>Mobile Ad Hoc Networks; Cooperative Communication and Network Coding; Opportunistic and Delay-Tolerant Networks; Computer Science</x:v>
      </x:c>
      <x:c r="K54" s="88" t="str">
        <x:v>https://doi.org/10.1109/mcom.2005.1509968 ; https://openalex.org/W2046980951 ; https://www.semanticscholar.org/paper/a6d8dcbaf05ebfe3e86455ecb34d4329d15a37cd</x:v>
      </x:c>
    </x:row>
    <x:row r="55" ht="62" customHeight="1">
      <x:c r="A55" s="86" t="n">
        <x:v>54</x:v>
      </x:c>
      <x:c r="B55" s="88" t="str">
        <x:v>Blockchain for IoT security and privacy: The case study of a smart home</x:v>
      </x:c>
      <x:c r="C55" s="88" t="str">
        <x:v>10.1109/percomw.2017.7917634</x:v>
      </x:c>
      <x:c r="D55" s="88" t="n">
        <x:v>2017</x:v>
      </x:c>
      <x:c r="E55" s="88" t="str">
        <x:v>2017 IEEE International Conference on Pervasive Computing and Communications Workshops (PerCom Workshops)</x:v>
      </x:c>
      <x:c r="F55" s="88" t="str">
        <x:v>High</x:v>
      </x:c>
      <x:c r="G55" s="88" t="str">
        <x:v>Available</x:v>
      </x:c>
      <x:c r="H55" s="88" t="str">
        <x:v>OpenAlex</x:v>
      </x:c>
      <x:c r="I55" s="88" t="str">
        <x:v>Internet of Things (IoT) security and privacy remain a major challenge, mainly due to the massive scale and distributed nature of IoT networks. Blockchain-based approaches provide decentralized security and privacy, yet they involve significant energy, delay, and computational overhead that is not suitable for most resource-constrained IoT devices. In our previous work, we presented a lightweight instantiation of a BC particularly geared for use in IoT by eliminating the Proof of Work (POW) and the concept of coins. Our approach was exemplified in a smart home setting and consists of three main tiers namely: cloud storage, overlay, and smart home. In this paper we delve deeper and outline the various core components and functions of the smart home tier. Each smart home is equipped with an always online, high resource device, known as “miner” that is responsible for handling all communication within and external to the home. The miner also preserves a private and secure BC, used for controlling and auditing communications. We show that our proposed BC-based smart home framework is secure by thoroughly analysing its security with respect to the fundamental security goals of confidentiality, integrity, and availability. Finally, we present simulation results to highlight that the overheads (in terms of traffic, processing time and energy consumption) introduced by our approach are insignificant relative to its security and privacy gains.</x:v>
      </x:c>
      <x:c r="J55" s="88" t="str">
        <x:v>IoT and Edge/Fog Computing; Blockchain Technology Applications and Security; Privacy-Preserving Technologies in Data; Computer Science</x:v>
      </x:c>
      <x:c r="K55" s="88" t="str">
        <x:v>https://doi.org/10.1109/percomw.2017.7917634 ; https://openalex.org/W2611626082 ; https://www.semanticscholar.org/paper/28fe6a3fab2f2097a6f9aac5ae9799577badf883</x:v>
      </x:c>
    </x:row>
    <x:row r="56" ht="62" customHeight="1">
      <x:c r="A56" s="86" t="n">
        <x:v>55</x:v>
      </x:c>
      <x:c r="B56" s="88" t="str">
        <x:v>Design Issues of the prTorrent File Sharing Protocol</x:v>
      </x:c>
      <x:c r="C56" s="88" t="str">
        <x:v>10.1109/ccnc.2010.5421784</x:v>
      </x:c>
      <x:c r="D56" s="88" t="n">
        <x:v>2010</x:v>
      </x:c>
      <x:c r="E56" s="88" t="str">
        <x:v>2010 7th IEEE Consumer Communications and Networking Conference</x:v>
      </x:c>
      <x:c r="F56" s="88" t="str">
        <x:v>High</x:v>
      </x:c>
      <x:c r="G56" s="88" t="str">
        <x:v>Available</x:v>
      </x:c>
      <x:c r="H56" s="88" t="str">
        <x:v>OpenAlex</x:v>
      </x:c>
      <x:c r="I56" s="88" t="str">
        <x:v>The absence of piece rarity in the BitTorrent Unchoking Algorithm exposes it to various exploitations and hinders optimized performances. prTorrent is a file sharing protocol based on BitTorrent which considers rarity of pieces swapped during unchoking for optimized performance within the swarm. This paper discusses the philosophies, issues and structure behind development of the prTorrent p2p protocol from scratch. The protocol was developed in Java to promote portability in simulation as well as emulation. We hope this work is a guide to students and developers planning to build a p2p simulator from the very base and alleviate design differences between simulation and emulation.</x:v>
      </x:c>
      <x:c r="J56" s="88" t="str">
        <x:v>Peer-to-Peer Network Technologies; Advanced Data Storage Technologies; Distributed and Parallel Computing Systems; Computer Science</x:v>
      </x:c>
      <x:c r="K56" s="88" t="str">
        <x:v>https://doi.org/10.1109/ccnc.2010.5421784 ; https://openalex.org/W1985426074 ; https://www.semanticscholar.org/paper/bdbf0407a83443560efb621be8b15a5fdc75e502</x:v>
      </x:c>
    </x:row>
    <x:row r="57" ht="62" customHeight="1">
      <x:c r="A57" s="86" t="n">
        <x:v>56</x:v>
      </x:c>
      <x:c r="B57" s="88" t="str">
        <x:v>Crop yield prediction using machine learning: A systematic literature review</x:v>
      </x:c>
      <x:c r="C57" s="88" t="str">
        <x:v>10.1016/j.compag.2020.105709</x:v>
      </x:c>
      <x:c r="D57" s="88" t="n">
        <x:v>2020</x:v>
      </x:c>
      <x:c r="E57" s="88" t="str">
        <x:v>Computers and Electronics in Agriculture</x:v>
      </x:c>
      <x:c r="F57" s="88" t="str">
        <x:v>High</x:v>
      </x:c>
      <x:c r="G57" s="88" t="str">
        <x:v>Available</x:v>
      </x:c>
      <x:c r="H57" s="88" t="str">
        <x:v>OpenAlex</x:v>
      </x:c>
      <x:c r="I57" s="88" t="str">
        <x:v>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x:v>
      </x:c>
      <x:c r="J57" s="88" t="str">
        <x:v>Smart Agriculture and AI; Hydrological Forecasting Using AI; Greenhouse Technology and Climate Control; Computer Science</x:v>
      </x:c>
      <x:c r="K57" s="88" t="str">
        <x:v>https://doi.org/10.1016/j.compag.2020.105709 ; https://openalex.org/W3079760979 ; https://www.semanticscholar.org/paper/f6d918d1c9b7bb1e45b9ca750bd9618bf8ef4ad7</x:v>
      </x:c>
    </x:row>
    <x:row r="58" ht="62" customHeight="1">
      <x:c r="A58" s="86" t="n">
        <x:v>57</x:v>
      </x:c>
      <x:c r="B58" s="88" t="str">
        <x:v>Making IoT fly: Blockchain-empowered cooperative air-ground networks</x:v>
      </x:c>
      <x:c r="C58" s="88" t="str">
        <x:v>10.1109/mnet.011.2000111</x:v>
      </x:c>
      <x:c r="D58" s="88" t="n">
        <x:v>2020</x:v>
      </x:c>
      <x:c r="E58" s="88" t="str">
        <x:v>IEEE Network</x:v>
      </x:c>
      <x:c r="F58" s="88" t="str">
        <x:v>Unverified</x:v>
      </x:c>
      <x:c r="G58" s="88" t="str">
        <x:v>Not found in Crossref/OpenAlex/Semantic Scholar</x:v>
      </x:c>
      <x:c r="H58" s="88" t="str"/>
      <x:c r="I58" s="88" t="str"/>
      <x:c r="J58" s="88" t="str"/>
      <x:c r="K58" s="88" t="str"/>
    </x:row>
    <x:row r="59" ht="62" customHeight="1">
      <x:c r="A59" s="86" t="n">
        <x:v>58</x:v>
      </x:c>
      <x:c r="B59" s="88" t="str">
        <x:v>Blockchain and IoT based Food Traceability for Smart Agriculture</x:v>
      </x:c>
      <x:c r="C59" s="88" t="str">
        <x:v>10.1145/3265689.3265692</x:v>
      </x:c>
      <x:c r="D59" s="88" t="n">
        <x:v>2018</x:v>
      </x:c>
      <x:c r="E59" s="88" t="str">
        <x:v>Proceedings of the 3rd International Conference on Crowd Science and Engineering</x:v>
      </x:c>
      <x:c r="F59" s="88" t="str">
        <x:v>High</x:v>
      </x:c>
      <x:c r="G59" s="88" t="str">
        <x:v>Available</x:v>
      </x:c>
      <x:c r="H59" s="88" t="str">
        <x:v>OpenAlex</x:v>
      </x:c>
      <x:c r="I59" s="88" t="str">
        <x:v>1Food safety is becoming more and more serious topic worldwide. To tackle the food safety issues from the technical aspect, people need a trusted food traceability system that can track and monitor the whole lifespan of food production, including the processes of food raw material cultivation/breeding, processing, transporting, warehousing, and selling etc. In this paper, we propose a trusted, self-organized, open and ecological food traceability system based on blockchain and Internet of Things (IoT) technologies, which involves all parties of a smart agriculture ecosystem, even if they may not trust each other. We use IoT devices to replace manual recording and verification as many as possible, which can reduce the human intervention to the system effectively. Furthermore, we plan to use the smart contract technology to help the law-executor to find problems and process them timely.</x:v>
      </x:c>
      <x:c r="J59" s="88" t="str">
        <x:v>Food Supply Chain Traceability; Blockchain Technology Applications and Security; IoT and Edge/Fog Computing; Computer Science; Business</x:v>
      </x:c>
      <x:c r="K59" s="88" t="str">
        <x:v>https://doi.org/10.1145/3265689.3265692 ; https://openalex.org/W2896711834 ; https://www.semanticscholar.org/paper/6d5eff0f4dcaf531a6129134119bc9613ce1b657</x:v>
      </x:c>
    </x:row>
    <x:row r="60" ht="62" customHeight="1">
      <x:c r="A60" s="86" t="n">
        <x:v>59</x:v>
      </x:c>
      <x:c r="B60" s="88" t="str">
        <x:v>An agri-food supply chain traceability system for China based on RFID &amp;amp; blockchain technology</x:v>
      </x:c>
      <x:c r="C60" s="88" t="str">
        <x:v>10.1109/icsssm.2016.7538424</x:v>
      </x:c>
      <x:c r="D60" s="88" t="n">
        <x:v>2016</x:v>
      </x:c>
      <x:c r="E60" s="88" t="str">
        <x:v>2016 13th International Conference on Service Systems and Service Management (ICSSSM)</x:v>
      </x:c>
      <x:c r="F60" s="88" t="str">
        <x:v>High</x:v>
      </x:c>
      <x:c r="G60" s="88" t="str">
        <x:v>Available</x:v>
      </x:c>
      <x:c r="H60" s="88" t="str">
        <x:v>OpenAlex</x:v>
      </x:c>
      <x:c r="I60" s="88" t="str">
        <x:v>For the past few years, food safety has become an outstanding problem in China. Since traditional agri-food logistics pattern can not match the demands of the market anymore, building an agri-food supply chain traceability system is becoming more and more urgent. In this paper, we study the utilization and development situation of RFID (Radio-Frequency IDentification) and blockchain technology first, and then we analyze the advantages and disadvantages of using RFID and blockchain technology in building the agri-food supply chain traceability system; finally, we demonstrate the building process of this system. It can realize the traceability with trusted information in the entire agri-food supply chain, which would effectively guarantee the food safety, by gathering, transferring and sharing the authentic data of agri-food in production, processing, warehousing, distribution and selling links.</x:v>
      </x:c>
      <x:c r="J60" s="88" t="str">
        <x:v>Blockchain Technology Applications and Security; Food Supply Chain Traceability; Food Waste Reduction and Sustainability; Computer Science</x:v>
      </x:c>
      <x:c r="K60" s="88" t="str">
        <x:v>https://doi.org/10.1109/icsssm.2016.7538424 ; https://openalex.org/W2511580607 ; https://www.semanticscholar.org/paper/24cdeb7d7421012c2fdd362b8e2816c105b7071f</x:v>
      </x:c>
    </x:row>
    <x:row r="61" ht="62" customHeight="1">
      <x:c r="A61" s="86" t="n">
        <x:v>60</x:v>
      </x:c>
      <x:c r="B61" s="88" t="str">
        <x:v>Bubbles of Trust: A decentralized blockchain-based authentication system for IoT</x:v>
      </x:c>
      <x:c r="C61" s="88" t="str">
        <x:v>10.1016/j.cose.2018.06.004</x:v>
      </x:c>
      <x:c r="D61" s="88" t="n">
        <x:v>2018</x:v>
      </x:c>
      <x:c r="E61" s="88" t="str">
        <x:v>Computers &amp;amp; Security</x:v>
      </x:c>
      <x:c r="F61" s="88" t="str">
        <x:v>High</x:v>
      </x:c>
      <x:c r="G61" s="88" t="str">
        <x:v>Available</x:v>
      </x:c>
      <x:c r="H61" s="88" t="str">
        <x:v>Semantic Scholar</x:v>
      </x:c>
      <x:c r="I61" s="88" t="str">
        <x:v>Abstract There is no doubt that Internet of Things (IoT) occupy a very important role in our daily lives. Indeed, numerous objects that we use every time, are being equipped with electronic devices and protocol suites in order to make them interconnected and connected to the Internet. In IoT, things process and exchange data without human intervention. Therefore, because of this full autonomy, these entities need to recognize and authenticate each other as well as to ensure the integrity of their exchanged data. Otherwise, they will be the target of malicious users and malicious use. Due to the size and other features of IoT, it is almost impossible to create an efficient centralized authentication system. To remedy this limit, in this paper, we propose an original decentralized system called bubbles of trust, which ensures a robust identification and authentication of devices. Furthermore, it protects the data integrity and availability. To achieve such a goal, our approach relies on the security advantages provided by blockchains, and serves to create secure virtual zones (bubbles) where things can identify and trust each other. We also provided a real implementation of our mechanism using the C++ language and Ethereum blockchain. The obtained results prove its ability to satisfy IoT security requirements, its efficiency, and its low cost.</x:v>
      </x:c>
      <x:c r="J61" s="88" t="str">
        <x:v>Blockchain Technology Applications and Security; IoT and Edge/Fog Computing; User Authentication and Security Systems; Computer Science</x:v>
      </x:c>
      <x:c r="K61" s="88" t="str">
        <x:v>https://doi.org/10.1016/j.cose.2018.06.004 ; https://openalex.org/W2810652557 ; https://www.semanticscholar.org/paper/fb74ec25eea00aaea3cf1519dda5de586c6b762c</x:v>
      </x:c>
    </x:row>
    <x:row r="62" ht="62" customHeight="1">
      <x:c r="A62" s="86" t="n">
        <x:v>61</x:v>
      </x:c>
      <x:c r="B62" s="88" t="str">
        <x:v>A Supply Chain Traceability System for Food Safety Based on HACCP, Blockchain, and RFID</x:v>
      </x:c>
      <x:c r="C62" s="88" t="str">
        <x:v>10.1109/icasi.2017.7988632</x:v>
      </x:c>
      <x:c r="D62" s="88" t="n">
        <x:v>2017</x:v>
      </x:c>
      <x:c r="E62" s="88" t="str">
        <x:v>2017 International Conference on Applied System Innovation</x:v>
      </x:c>
      <x:c r="F62" s="88" t="str">
        <x:v>Unverified</x:v>
      </x:c>
      <x:c r="G62" s="88" t="str">
        <x:v>Not found in Crossref/OpenAlex/Semantic Scholar</x:v>
      </x:c>
      <x:c r="H62" s="88" t="str"/>
      <x:c r="I62" s="88" t="str"/>
      <x:c r="J62" s="88" t="str"/>
      <x:c r="K62" s="88" t="str"/>
    </x:row>
    <x:row r="63" ht="62" customHeight="1">
      <x:c r="A63" s="86" t="n">
        <x:v>62</x:v>
      </x:c>
      <x:c r="B63" s="88" t="str">
        <x:v>On blockchain and its integration with IoT. Challenges and opportunities</x:v>
      </x:c>
      <x:c r="C63" s="88" t="str">
        <x:v>10.1016/j.future.2018.05.046</x:v>
      </x:c>
      <x:c r="D63" s="88" t="n">
        <x:v>2018</x:v>
      </x:c>
      <x:c r="E63" s="88" t="str">
        <x:v>Future Generation Computer Systems</x:v>
      </x:c>
      <x:c r="F63" s="88" t="str">
        <x:v>High</x:v>
      </x:c>
      <x:c r="G63" s="88" t="str">
        <x:v>Available</x:v>
      </x:c>
      <x:c r="H63" s="88" t="str">
        <x:v>OpenAlex</x:v>
      </x:c>
      <x:c r="I63" s="88" t="str">
        <x:v>In the Internet of Things (IoT) vision, conventional devices become smart and autonomous. This vision is turning into a reality thanks to advances in technology, but there are still challenges to address, particularly in the security domain e.g., data reliability. Taking into account the predicted evolution of the IoT in the coming years, it is necessary to provide confidence in this huge incoming information source. Blockchain has emerged as a key technology that will transform the way in which we share information. Building trust in distributed environments without the need for authorities is a technological advance that has the potential to change many industries, the IoT among them. Disruptive technologies such as big data and cloud computing have been leveraged by IoT to overcome its limitations since its conception, and we think blockchain will be one of the next ones. This paper focuses on this relationship, investigates challenges in blockchain IoT applications, and surveys the most relevant work in order to analyze how blockchain could potentially improve the IoT.</x:v>
      </x:c>
      <x:c r="J63" s="88" t="str">
        <x:v>Blockchain Technology Applications and Security; IoT and Edge/Fog Computing; Caching and Content Delivery; Computer Science</x:v>
      </x:c>
      <x:c r="K63" s="88" t="str">
        <x:v>https://doi.org/10.1016/j.future.2018.05.046 ; https://openalex.org/W2803371618 ; https://www.semanticscholar.org/paper/5006904fbdd9daa5ad534393a45705a719dd8527</x:v>
      </x:c>
    </x:row>
    <x:row r="64" ht="62" customHeight="1">
      <x:c r="A64" s="86" t="n">
        <x:v>63</x:v>
      </x:c>
      <x:c r="B64" s="88" t="str">
        <x:v>TDR-315N Soil Moisture Sensor Specifications</x:v>
      </x:c>
      <x:c r="C64" s="88" t="str"/>
      <x:c r="D64" s="88" t="n">
        <x:v>2022</x:v>
      </x:c>
      <x:c r="E64" s="88" t="str">
        <x:v>Acclima Datasheet</x:v>
      </x:c>
      <x:c r="F64" s="88" t="str">
        <x:v>Unverified</x:v>
      </x:c>
      <x:c r="G64" s="88" t="str">
        <x:v>Not found in Crossref/OpenAlex/Semantic Scholar</x:v>
      </x:c>
      <x:c r="H64" s="88" t="str"/>
      <x:c r="I64" s="88" t="str"/>
      <x:c r="J64" s="88" t="str"/>
      <x:c r="K64" s="88" t="str"/>
    </x:row>
    <x:row r="65" ht="62" customHeight="1">
      <x:c r="A65" s="86" t="n">
        <x:v>64</x:v>
      </x:c>
      <x:c r="B65" s="88" t="str">
        <x:v>DHT22 Temperature and Humidity Sensor Datasheet</x:v>
      </x:c>
      <x:c r="C65" s="88" t="str"/>
      <x:c r="D65" s="88" t="n">
        <x:v>2018</x:v>
      </x:c>
      <x:c r="E65" s="88" t="str">
        <x:v>AOSONG Technical Documentation</x:v>
      </x:c>
      <x:c r="F65" s="88" t="str">
        <x:v>Unverified</x:v>
      </x:c>
      <x:c r="G65" s="88" t="str">
        <x:v>Not found in Crossref/OpenAlex/Semantic Scholar</x:v>
      </x:c>
      <x:c r="H65" s="88" t="str"/>
      <x:c r="I65" s="88" t="str"/>
      <x:c r="J65" s="88" t="str"/>
      <x:c r="K65" s="88" t="str"/>
    </x:row>
    <x:row r="66" ht="62" customHeight="1">
      <x:c r="A66" s="86" t="n">
        <x:v>65</x:v>
      </x:c>
      <x:c r="B66" s="88" t="str">
        <x:v>Low-Power Soil pH Measurement Techniques</x:v>
      </x:c>
      <x:c r="C66" s="88" t="str"/>
      <x:c r="D66" s="88" t="n">
        <x:v>2013</x:v>
      </x:c>
      <x:c r="E66" s="88" t="str">
        <x:v>Analog Devices Application Note</x:v>
      </x:c>
      <x:c r="F66" s="88" t="str">
        <x:v>Unverified</x:v>
      </x:c>
      <x:c r="G66" s="88" t="str">
        <x:v>Not found in Crossref/OpenAlex/Semantic Scholar</x:v>
      </x:c>
      <x:c r="H66" s="88" t="str"/>
      <x:c r="I66" s="88" t="str"/>
      <x:c r="J66" s="88" t="str"/>
      <x:c r="K66" s="88" t="str"/>
    </x:row>
    <x:row r="67" ht="62" customHeight="1">
      <x:c r="A67" s="86" t="n">
        <x:v>66</x:v>
      </x:c>
      <x:c r="B67" s="88" t="str">
        <x:v>BH1750 Light Sensor Module</x:v>
      </x:c>
      <x:c r="C67" s="88" t="str"/>
      <x:c r="D67" s="88" t="n">
        <x:v>2020</x:v>
      </x:c>
      <x:c r="E67" s="88" t="str">
        <x:v>Components101</x:v>
      </x:c>
      <x:c r="F67" s="88" t="str">
        <x:v>Unverified</x:v>
      </x:c>
      <x:c r="G67" s="88" t="str">
        <x:v>Not found in Crossref/OpenAlex/Semantic Scholar</x:v>
      </x:c>
      <x:c r="H67" s="88" t="str"/>
      <x:c r="I67" s="88" t="str"/>
      <x:c r="J67" s="88" t="str"/>
      <x:c r="K67" s="88" t="str"/>
    </x:row>
    <x:row r="68" ht="62" customHeight="1">
      <x:c r="A68" s="86" t="n">
        <x:v>67</x:v>
      </x:c>
      <x:c r="B68" s="88" t="str">
        <x:v>Calibrating the BH1750 for PAR Measurement</x:v>
      </x:c>
      <x:c r="C68" s="88" t="str"/>
      <x:c r="D68" s="88" t="n">
        <x:v>2022</x:v>
      </x:c>
      <x:c r="E68" s="88" t="str">
        <x:v>IotaWatt Engineering Blog</x:v>
      </x:c>
      <x:c r="F68" s="88" t="str">
        <x:v>Unverified</x:v>
      </x:c>
      <x:c r="G68" s="88" t="str">
        <x:v>Not found in Crossref/OpenAlex/Semantic Scholar</x:v>
      </x:c>
      <x:c r="H68" s="88" t="str"/>
      <x:c r="I68" s="88" t="str"/>
      <x:c r="J68" s="88" t="str"/>
      <x:c r="K68" s="88" t="str"/>
    </x:row>
    <x:row r="69" ht="62" customHeight="1">
      <x:c r="A69" s="86" t="n">
        <x:v>68</x:v>
      </x:c>
      <x:c r="B69" s="88" t="str">
        <x:v>RFM95W LoRa Radio Transceiver</x:v>
      </x:c>
      <x:c r="C69" s="88" t="str"/>
      <x:c r="D69" s="88" t="n">
        <x:v>2016</x:v>
      </x:c>
      <x:c r="E69" s="88" t="str">
        <x:v>Adafruit Product Guide</x:v>
      </x:c>
      <x:c r="F69" s="88" t="str">
        <x:v>Unverified</x:v>
      </x:c>
      <x:c r="G69" s="88" t="str">
        <x:v>Not found in Crossref/OpenAlex/Semantic Scholar</x:v>
      </x:c>
      <x:c r="H69" s="88" t="str"/>
      <x:c r="I69" s="88" t="str"/>
      <x:c r="J69" s="88" t="str"/>
      <x:c r="K69" s="88" t="str"/>
    </x:row>
    <x:row r="70" ht="62" customHeight="1">
      <x:c r="A70" s="86" t="n">
        <x:v>69</x:v>
      </x:c>
      <x:c r="B70" s="88" t="str">
        <x:v>Raspberry Pi 4 Model B Technical Specifications</x:v>
      </x:c>
      <x:c r="C70" s="88" t="str"/>
      <x:c r="D70" s="88" t="n">
        <x:v>2023</x:v>
      </x:c>
      <x:c r="E70" s="88" t="str">
        <x:v>Raspberry Pi Documentation</x:v>
      </x:c>
      <x:c r="F70" s="88" t="str">
        <x:v>Unverified</x:v>
      </x:c>
      <x:c r="G70" s="88" t="str">
        <x:v>Not found in Crossref/OpenAlex/Semantic Scholar</x:v>
      </x:c>
      <x:c r="H70" s="88" t="str"/>
      <x:c r="I70" s="88" t="str"/>
      <x:c r="J70" s="88" t="str"/>
      <x:c r="K70" s="88" t="str"/>
    </x:row>
    <x:row r="71" ht="62" customHeight="1">
      <x:c r="A71" s="86" t="n">
        <x:v>70</x:v>
      </x:c>
      <x:c r="B71" s="88" t="str">
        <x:v>SX1302 LoRaWAN Gateway Module Overview</x:v>
      </x:c>
      <x:c r="C71" s="88" t="str"/>
      <x:c r="D71" s="88" t="n">
        <x:v>2024</x:v>
      </x:c>
      <x:c r="E71" s="88" t="str">
        <x:v>Waveshare Wiki</x:v>
      </x:c>
      <x:c r="F71" s="88" t="str">
        <x:v>Unverified</x:v>
      </x:c>
      <x:c r="G71" s="88" t="str">
        <x:v>Not found in Crossref/OpenAlex/Semantic Scholar</x:v>
      </x:c>
      <x:c r="H71" s="88" t="str"/>
      <x:c r="I71" s="88" t="str"/>
      <x:c r="J71" s="88" t="str"/>
      <x:c r="K71" s="88" t="str"/>
    </x:row>
    <x:row r="72" ht="62" customHeight="1">
      <x:c r="A72" s="86" t="n">
        <x:v>71</x:v>
      </x:c>
      <x:c r="B72" s="88" t="str">
        <x:v>Trusted Platform Module (TPM) Technology Overview</x:v>
      </x:c>
      <x:c r="C72" s="88" t="str"/>
      <x:c r="D72" s="88" t="n">
        <x:v>2023</x:v>
      </x:c>
      <x:c r="E72" s="88" t="str">
        <x:v>Microsoft Learn</x:v>
      </x:c>
      <x:c r="F72" s="88" t="str">
        <x:v>Unverified</x:v>
      </x:c>
      <x:c r="G72" s="88" t="str">
        <x:v>Not found in Crossref/OpenAlex/Semantic Scholar</x:v>
      </x:c>
      <x:c r="H72" s="88" t="str"/>
      <x:c r="I72" s="88" t="str"/>
      <x:c r="J72" s="88" t="str"/>
      <x:c r="K72" s="88" t="str"/>
    </x:row>
    <x:row r="73" ht="62" customHeight="1">
      <x:c r="A73" s="86" t="n">
        <x:v>72</x:v>
      </x:c>
      <x:c r="B73" s="88" t="str">
        <x:v>EU868 LoRaWAN Frequency Plan</x:v>
      </x:c>
      <x:c r="C73" s="88" t="str"/>
      <x:c r="D73" s="88" t="n">
        <x:v>2024</x:v>
      </x:c>
      <x:c r="E73" s="88" t="str">
        <x:v>TTN Documentation</x:v>
      </x:c>
      <x:c r="F73" s="88" t="str">
        <x:v>Unverified</x:v>
      </x:c>
      <x:c r="G73" s="88" t="str">
        <x:v>Not found in Crossref/OpenAlex/Semantic Scholar</x:v>
      </x:c>
      <x:c r="H73" s="88" t="str"/>
      <x:c r="I73" s="88" t="str"/>
      <x:c r="J73" s="88" t="str"/>
      <x:c r="K73" s="88" t="str"/>
    </x:row>
    <x:row r="74" ht="62" customHeight="1">
      <x:c r="A74" s="86" t="n">
        <x:v>73</x:v>
      </x:c>
      <x:c r="B74" s="88" t="str">
        <x:v>LoRaWAN Regional Parameters v1.0</x:v>
      </x:c>
      <x:c r="C74" s="88" t="str"/>
      <x:c r="D74" s="88" t="n">
        <x:v>2021</x:v>
      </x:c>
      <x:c r="E74" s="88" t="str">
        <x:v>LoRa Alliance Technical Specification</x:v>
      </x:c>
      <x:c r="F74" s="88" t="str">
        <x:v>Unverified</x:v>
      </x:c>
      <x:c r="G74" s="88" t="str">
        <x:v>Not found in Crossref/OpenAlex/Semantic Scholar</x:v>
      </x:c>
      <x:c r="H74" s="88" t="str"/>
      <x:c r="I74" s="88" t="str"/>
      <x:c r="J74" s="88" t="str"/>
      <x:c r="K74" s="88" t="str"/>
    </x:row>
    <x:row r="75" ht="62" customHeight="1">
      <x:c r="A75" s="86" t="n">
        <x:v>74</x:v>
      </x:c>
      <x:c r="B75" s="88" t="str">
        <x:v>Building a Self-Healing Raspberry Pi Mesh Using BATMAN-adv</x:v>
      </x:c>
      <x:c r="C75" s="88" t="str"/>
      <x:c r="D75" s="88" t="n">
        <x:v>2025</x:v>
      </x:c>
      <x:c r="E75" s="88" t="str"/>
      <x:c r="F75" s="88" t="str">
        <x:v>Unverified</x:v>
      </x:c>
      <x:c r="G75" s="88" t="str">
        <x:v>Not available; source may not be a journal paper</x:v>
      </x:c>
      <x:c r="H75" s="88" t="str"/>
      <x:c r="I75" s="88" t="str"/>
      <x:c r="J75" s="88" t="str"/>
      <x:c r="K75" s="88" t="str"/>
    </x:row>
    <x:row r="76" ht="62" customHeight="1">
      <x:c r="A76" s="86" t="n">
        <x:v>75</x:v>
      </x:c>
      <x:c r="B76" s="88" t="str">
        <x:v>Performance Evaluation of Mesh Protocols in Real-Time Test Beds</x:v>
      </x:c>
      <x:c r="C76" s="88" t="str"/>
      <x:c r="D76" s="88" t="n">
        <x:v>2015</x:v>
      </x:c>
      <x:c r="E76" s="88" t="str">
        <x:v>International Research Journal of Engineering and Technology</x:v>
      </x:c>
      <x:c r="F76" s="88" t="str">
        <x:v>Unverified</x:v>
      </x:c>
      <x:c r="G76" s="88" t="str">
        <x:v>Not found in Crossref/OpenAlex/Semantic Scholar</x:v>
      </x:c>
      <x:c r="H76" s="88" t="str"/>
      <x:c r="I76" s="88" t="str"/>
      <x:c r="J76" s="88" t="str"/>
      <x:c r="K76" s="88" t="str"/>
    </x:row>
    <x:row r="77" ht="62" customHeight="1">
      <x:c r="A77" s="86" t="n">
        <x:v>76</x:v>
      </x:c>
      <x:c r="B77" s="88" t="str">
        <x:v>Chinese Remainder Theorem</x:v>
      </x:c>
      <x:c r="C77" s="88" t="str">
        <x:v>10.1201/9781439894699-10</x:v>
      </x:c>
      <x:c r="D77" s="88" t="n">
        <x:v>2009</x:v>
      </x:c>
      <x:c r="E77" s="88" t="str">
        <x:v>Applied Algebra</x:v>
      </x:c>
      <x:c r="F77" s="88" t="str">
        <x:v>Medium</x:v>
      </x:c>
      <x:c r="G77" s="88" t="str">
        <x:v>Not available; source may not be a journal paper</x:v>
      </x:c>
      <x:c r="H77" s="88" t="str"/>
      <x:c r="I77" s="88" t="str"/>
      <x:c r="J77" s="88" t="str"/>
      <x:c r="K77" s="88" t="str">
        <x:v>https://doi.org/10.1201/9781439894699-10</x:v>
      </x:c>
    </x:row>
    <x:row r="78" ht="62" customHeight="1">
      <x:c r="A78" s="86" t="n">
        <x:v>77</x:v>
      </x:c>
      <x:c r="B78" s="88" t="str">
        <x:v>Garner's Algorithm --- cp\_algorithms</x:v>
      </x:c>
      <x:c r="C78" s="88" t="str"/>
      <x:c r="D78" s="88" t="n">
        <x:v>2024</x:v>
      </x:c>
      <x:c r="E78" s="88" t="str"/>
      <x:c r="F78" s="88" t="str">
        <x:v>Unverified</x:v>
      </x:c>
      <x:c r="G78" s="88" t="str">
        <x:v>Not available; source may not be a journal paper</x:v>
      </x:c>
      <x:c r="H78" s="88" t="str"/>
      <x:c r="I78" s="88" t="str"/>
      <x:c r="J78" s="88" t="str"/>
      <x:c r="K78" s="88" t="str"/>
    </x:row>
    <x:row r="79" ht="62" customHeight="1">
      <x:c r="A79" s="86" t="n">
        <x:v>78</x:v>
      </x:c>
      <x:c r="B79" s="88" t="str">
        <x:v>Ordering Service Documentation</x:v>
      </x:c>
      <x:c r="C79" s="88" t="str"/>
      <x:c r="D79" s="88" t="n">
        <x:v>2024</x:v>
      </x:c>
      <x:c r="E79" s="88" t="str"/>
      <x:c r="F79" s="88" t="str">
        <x:v>Unverified</x:v>
      </x:c>
      <x:c r="G79" s="88" t="str">
        <x:v>Not available; source may not be a journal paper</x:v>
      </x:c>
      <x:c r="H79" s="88" t="str"/>
      <x:c r="I79" s="88" t="str"/>
      <x:c r="J79" s="88" t="str"/>
      <x:c r="K79" s="88" t="str"/>
    </x:row>
    <x:row r="80" ht="62" customHeight="1">
      <x:c r="A80" s="86" t="n">
        <x:v>79</x:v>
      </x:c>
      <x:c r="B80" s="88" t="str">
        <x:v>Hyperledger Fabric Overview</x:v>
      </x:c>
      <x:c r="C80" s="88" t="str"/>
      <x:c r="D80" s="88" t="n">
        <x:v>2023</x:v>
      </x:c>
      <x:c r="E80" s="88" t="str"/>
      <x:c r="F80" s="88" t="str">
        <x:v>Unverified</x:v>
      </x:c>
      <x:c r="G80" s="88" t="str">
        <x:v>Not available; source may not be a journal paper</x:v>
      </x:c>
      <x:c r="H80" s="88" t="str"/>
      <x:c r="I80" s="88" t="str"/>
      <x:c r="J80" s="88" t="str"/>
      <x:c r="K80" s="88" t="str"/>
    </x:row>
    <x:row r="81" ht="62" customHeight="1">
      <x:c r="A81" s="86" t="n">
        <x:v>80</x:v>
      </x:c>
      <x:c r="B81" s="88" t="str">
        <x:v>Hyperledger Fabric Access Control System for IoT Layer in Blockchain-Based Applications</x:v>
      </x:c>
      <x:c r="C81" s="88" t="str">
        <x:v>10.3390/s22205981</x:v>
      </x:c>
      <x:c r="D81" s="88" t="n">
        <x:v>2022</x:v>
      </x:c>
      <x:c r="E81" s="88" t="str">
        <x:v>Sensors</x:v>
      </x:c>
      <x:c r="F81" s="88" t="str">
        <x:v>Unverified</x:v>
      </x:c>
      <x:c r="G81" s="88" t="str">
        <x:v>Not found in Crossref/OpenAlex/Semantic Scholar</x:v>
      </x:c>
      <x:c r="H81" s="88" t="str"/>
      <x:c r="I81" s="88" t="str"/>
      <x:c r="J81" s="88" t="str"/>
      <x:c r="K81" s="88" t="str"/>
    </x:row>
    <x:row r="82" ht="62" customHeight="1">
      <x:c r="A82" s="86" t="n">
        <x:v>81</x:v>
      </x:c>
      <x:c r="B82" s="88" t="str">
        <x:v>Explained: Chaincode in Hyperledger Fabric</x:v>
      </x:c>
      <x:c r="C82" s="88" t="str"/>
      <x:c r="D82" s="88" t="n">
        <x:v>2020</x:v>
      </x:c>
      <x:c r="E82" s="88" t="str"/>
      <x:c r="F82" s="88" t="str">
        <x:v>Unverified</x:v>
      </x:c>
      <x:c r="G82" s="88" t="str">
        <x:v>Not available; source may not be a journal paper</x:v>
      </x:c>
      <x:c r="H82" s="88" t="str"/>
      <x:c r="I82" s="88" t="str"/>
      <x:c r="J82" s="88" t="str"/>
      <x:c r="K82" s="88" t="str"/>
    </x:row>
    <x:row r="83" ht="62" customHeight="1">
      <x:c r="A83" s="86" t="n">
        <x:v>82</x:v>
      </x:c>
      <x:c r="B83" s="88" t="str">
        <x:v>Private Data Collections Documentation</x:v>
      </x:c>
      <x:c r="C83" s="88" t="str"/>
      <x:c r="D83" s="88" t="n">
        <x:v>2024</x:v>
      </x:c>
      <x:c r="E83" s="88" t="str"/>
      <x:c r="F83" s="88" t="str">
        <x:v>Unverified</x:v>
      </x:c>
      <x:c r="G83" s="88" t="str">
        <x:v>Not available; source may not be a journal paper</x:v>
      </x:c>
      <x:c r="H83" s="88" t="str"/>
      <x:c r="I83" s="88" t="str"/>
      <x:c r="J83" s="88" t="str"/>
      <x:c r="K83" s="88" t="str"/>
    </x:row>
    <x:row r="84" ht="62" customHeight="1">
      <x:c r="A84" s="86" t="n">
        <x:v>83</x:v>
      </x:c>
      <x:c r="B84" s="88" t="str">
        <x:v>How to Grow Tomatoes from Seed</x:v>
      </x:c>
      <x:c r="C84" s="88" t="str"/>
      <x:c r="D84" s="88" t="n">
        <x:v>2024</x:v>
      </x:c>
      <x:c r="E84" s="88" t="str"/>
      <x:c r="F84" s="88" t="str">
        <x:v>Unverified</x:v>
      </x:c>
      <x:c r="G84" s="88" t="str">
        <x:v>Not available; source may not be a journal paper</x:v>
      </x:c>
      <x:c r="H84" s="88" t="str"/>
      <x:c r="I84" s="88" t="str"/>
      <x:c r="J84" s="88" t="str"/>
      <x:c r="K84" s="88" t="str"/>
    </x:row>
    <x:row r="85" ht="62" customHeight="1">
      <x:c r="A85" s="86" t="n">
        <x:v>84</x:v>
      </x:c>
      <x:c r="B85" s="88" t="str">
        <x:v>Field Tomato Production Guide</x:v>
      </x:c>
      <x:c r="C85" s="88" t="str"/>
      <x:c r="D85" s="88" t="n">
        <x:v>2021</x:v>
      </x:c>
      <x:c r="E85" s="88" t="str"/>
      <x:c r="F85" s="88" t="str">
        <x:v>Unverified</x:v>
      </x:c>
      <x:c r="G85" s="88" t="str">
        <x:v>Not available; source may not be a journal paper</x:v>
      </x:c>
      <x:c r="H85" s="88" t="str"/>
      <x:c r="I85" s="88" t="str"/>
      <x:c r="J85" s="88" t="str"/>
      <x:c r="K85" s="88" t="str"/>
    </x:row>
    <x:row r="86" ht="62" customHeight="1">
      <x:c r="A86" s="86" t="n">
        <x:v>85</x:v>
      </x:c>
      <x:c r="B86" s="88" t="str">
        <x:v>Fertilization: Tomato Pest Management Guidelines</x:v>
      </x:c>
      <x:c r="C86" s="88" t="str"/>
      <x:c r="D86" s="88" t="n">
        <x:v>2024</x:v>
      </x:c>
      <x:c r="E86" s="88" t="str"/>
      <x:c r="F86" s="88" t="str">
        <x:v>Unverified</x:v>
      </x:c>
      <x:c r="G86" s="88" t="str">
        <x:v>Not available; source may not be a journal paper</x:v>
      </x:c>
      <x:c r="H86" s="88" t="str"/>
      <x:c r="I86" s="88" t="str"/>
      <x:c r="J86" s="88" t="str"/>
      <x:c r="K86" s="88" t="str"/>
    </x:row>
    <x:row r="87" ht="62" customHeight="1">
      <x:c r="A87" s="86" t="n">
        <x:v>86</x:v>
      </x:c>
      <x:c r="B87" s="88" t="str">
        <x:v>Growing Tomatoes in the Home Garden</x:v>
      </x:c>
      <x:c r="C87" s="88" t="str">
        <x:v>10.3733/ucanr.8159</x:v>
      </x:c>
      <x:c r="D87" s="88" t="n">
        <x:v>2005</x:v>
      </x:c>
      <x:c r="E87" s="88" t="str">
        <x:v>MOspace Institutional Repository (University of Missouri)</x:v>
      </x:c>
      <x:c r="F87" s="88" t="str">
        <x:v>Medium</x:v>
      </x:c>
      <x:c r="G87" s="88" t="str">
        <x:v>Available</x:v>
      </x:c>
      <x:c r="H87" s="88" t="str">
        <x:v>OpenAlex</x:v>
      </x:c>
      <x:c r="I87" s="88" t="str">
        <x:v>The tomato is America's most popular home garden crop. Tomatoes require a small area, bear repeatedly, are widely adapted and easy to grow, and have many culinary uses. Tomatoes are rich in vitamins A and C, low in calories, and an excellent source of lycopene, the pigment that makes tomatoes red and has been linked to the prevention of many forms of cancer.</x:v>
      </x:c>
      <x:c r="J87" s="88" t="str">
        <x:v>Flowering Plant Growth and Cultivation; Geography</x:v>
      </x:c>
      <x:c r="K87" s="88" t="str">
        <x:v>https://doi.org/10.3733/ucanr.8159 ; https://openalex.org/W2605054146 ; https://www.semanticscholar.org/paper/617b487df0c33d4b41e1c735b45da0a0607d7509</x:v>
      </x:c>
    </x:row>
    <x:row r="88" ht="62" customHeight="1">
      <x:c r="A88" s="86" t="n">
        <x:v>87</x:v>
      </x:c>
      <x:c r="B88" s="88" t="str">
        <x:v>Garden Peppers (NebGuide G1879)</x:v>
      </x:c>
      <x:c r="C88" s="88" t="str"/>
      <x:c r="D88" s="88" t="n">
        <x:v>2008</x:v>
      </x:c>
      <x:c r="E88" s="88" t="str"/>
      <x:c r="F88" s="88" t="str">
        <x:v>Unverified</x:v>
      </x:c>
      <x:c r="G88" s="88" t="str">
        <x:v>Not available; source may not be a journal paper</x:v>
      </x:c>
      <x:c r="H88" s="88" t="str"/>
      <x:c r="I88" s="88" t="str"/>
      <x:c r="J88" s="88" t="str"/>
      <x:c r="K88" s="88" t="str"/>
    </x:row>
    <x:row r="89" ht="62" customHeight="1">
      <x:c r="A89" s="86" t="n">
        <x:v>88</x:v>
      </x:c>
      <x:c r="B89" s="88" t="str">
        <x:v>Peppers — Mid-Atlantic Commercial Vegetable Production Recommendations 2024/2025</x:v>
      </x:c>
      <x:c r="C89" s="88" t="str"/>
      <x:c r="D89" s="88" t="n">
        <x:v>2024</x:v>
      </x:c>
      <x:c r="E89" s="88" t="str"/>
      <x:c r="F89" s="88" t="str">
        <x:v>Unverified</x:v>
      </x:c>
      <x:c r="G89" s="88" t="str">
        <x:v>Not available; source may not be a journal paper</x:v>
      </x:c>
      <x:c r="H89" s="88" t="str"/>
      <x:c r="I89" s="88" t="str"/>
      <x:c r="J89" s="88" t="str"/>
      <x:c r="K89" s="88" t="str"/>
    </x:row>
    <x:row r="90" ht="62" customHeight="1">
      <x:c r="A90" s="86" t="n">
        <x:v>89</x:v>
      </x:c>
      <x:c r="B90" s="88" t="str">
        <x:v>Effect of Spacing and Nutrient Management on Growth and Yield of King Chilli (Capsicum chinense Jacq.) Grown Under Protected Condition</x:v>
      </x:c>
      <x:c r="C90" s="88" t="str">
        <x:v>10.20546/ijcmas.2019.808.318</x:v>
      </x:c>
      <x:c r="D90" s="88" t="n">
        <x:v>2019</x:v>
      </x:c>
      <x:c r="E90" s="88" t="str">
        <x:v>International Journal of Current Microbiology and Applied Sciences</x:v>
      </x:c>
      <x:c r="F90" s="88" t="str">
        <x:v>High</x:v>
      </x:c>
      <x:c r="G90" s="88" t="str">
        <x:v>Available</x:v>
      </x:c>
      <x:c r="H90" s="88" t="str">
        <x:v>OpenAlex</x:v>
      </x:c>
      <x:c r="I90" s="88" t="str">
        <x:v>The experiment entitled “Effect of Spacing and Nutrient Management on Growth and Yield of King Chilli (Capsicum chinense Jacq.) grown under Protected Condition” was carried out during the year 2017-2018 under polyhouse at College of Horticulture and Forestry, Central Agricultural University, Pasighat, Arunachal Pradesh. Nine treatments with two factors (spacing and Nutrient) i.e. 3 spacing levels S1 (60 cm x 60 cm), S2 (60 cm x 75 cm), S3 (60 cm x 90 cm) and 3 nutrient levels N1 (90:45:45 kg NPK/ha + 20 t FYM/ha), N2 (120:60:60 kg NPK/ha +15 t FYM/ha) and N3 (150:75:75 kg NPK/ha + 10 t FYM/ha) were arranged in factorial RBD design, in order to study the effect of various spacing and nutrient level on growth and yield of king chilli under protected condition. The plants grown in lowest spacing level S1 obtained the maximum plant height (205.73 cm), highest number of leaves/plant (1125.29), the least number of days to first flowering, 50% flowering first fruiting, 50% fruiting, longest fruit length (73.16 mm) and fruit girth (106.11 mm). While spacing level S3 resulted in highest number of fruit/plant (175.72), fruit yield/plant (1.35 kg). The nutrient level N3 resulted in highest plant growth parameters, number of fruits/plant (142.53), fruit yield/plant (1.13 kg). The least number of days required to first flowering and fruiting, 50% flowering and fruiting days to red ripe maturity, maximum fruit length and girth was obtained in S1N1. While maximum number of fruits 185.13/plant, fruit yield 1.45 kg/plant were obtained from S1N3 i.e. 60 cm x 90 cm + 150:75:75 kg NPK/ha + 10 t FYM/ha.</x:v>
      </x:c>
      <x:c r="J90" s="88" t="str">
        <x:v>Agricultural Science and Fertilization; Pineapple and bromelain studies; Biology</x:v>
      </x:c>
      <x:c r="K90" s="88" t="str">
        <x:v>https://doi.org/10.20546/ijcmas.2019.808.318 ; https://openalex.org/W2978721911 ; https://www.semanticscholar.org/paper/52dce58965e264e82e515a224bf9d2c13ac8e732</x:v>
      </x:c>
    </x:row>
    <x:row r="91" ht="62" customHeight="1">
      <x:c r="A91" s="86" t="n">
        <x:v>90</x:v>
      </x:c>
      <x:c r="B91" s="88" t="str">
        <x:v>A study of LoRaWAN protocol performance for IoT applications in smart agriculture</x:v>
      </x:c>
      <x:c r="C91" s="88" t="str">
        <x:v>10.1016/j.comcom.2020.10.009</x:v>
      </x:c>
      <x:c r="D91" s="88" t="n">
        <x:v>2020</x:v>
      </x:c>
      <x:c r="E91" s="88" t="str">
        <x:v>Computer Communications</x:v>
      </x:c>
      <x:c r="F91" s="88" t="str">
        <x:v>High</x:v>
      </x:c>
      <x:c r="G91" s="88" t="str">
        <x:v>Available</x:v>
      </x:c>
      <x:c r="H91" s="88" t="str">
        <x:v>Semantic Scholar</x:v>
      </x:c>
      <x:c r="I91" s="88" t="str">
        <x:v>Abstract The use of Internet of Things (IoT) is becoming increasingly common in agribusiness to increase food production capacity for the expanding global population. Recently, low-power wide-area networks (LPWANs) have been used in the development of IoT applications that require low power consumption and low data transmission rates. LoRaWAN is considered the most suitable communication network for LPWANs for IoT applications in smart agriculture. In this paper, we present an in-depth study of the performance of the LoRaWAN communication network in the context of an IoT application for a pilot farm. We consider several scenarios and analyze simulation results by using Network Simulator 3. We then propose a mathematical model that precisely predicts the successful packet delivery rate for this type of network considering the number of nodes and the transmission interval duration. Finally, we validate the results of our model by comparing them with other simulation results under different scenarios.</x:v>
      </x:c>
      <x:c r="J91" s="88" t="str">
        <x:v>IoT Networks and Protocols; IoT and Edge/Fog Computing; Computer Science</x:v>
      </x:c>
      <x:c r="K91" s="88" t="str">
        <x:v>https://doi.org/10.1016/j.comcom.2020.10.009 ; https://openalex.org/W3093278734 ; https://www.semanticscholar.org/paper/e04d826dad92cae886c874d75417f486b0f94816</x:v>
      </x:c>
    </x:row>
    <x:row r="92" ht="62" customHeight="1">
      <x:c r="A92" s="86" t="n">
        <x:v>91</x:v>
      </x:c>
      <x:c r="B92" s="88" t="str">
        <x:v>Long-range communications in unlicensed bands: The LoRa technology</x:v>
      </x:c>
      <x:c r="C92" s="88" t="str"/>
      <x:c r="D92" s="88" t="n">
        <x:v>2016</x:v>
      </x:c>
      <x:c r="E92" s="88" t="str">
        <x:v>IEEE Wireless Communications</x:v>
      </x:c>
      <x:c r="F92" s="88" t="str">
        <x:v>Unverified</x:v>
      </x:c>
      <x:c r="G92" s="88" t="str">
        <x:v>Not found in Crossref/OpenAlex/Semantic Scholar</x:v>
      </x:c>
      <x:c r="H92" s="88" t="str"/>
      <x:c r="I92" s="88" t="str"/>
      <x:c r="J92" s="88" t="str"/>
      <x:c r="K92" s="88" t="str"/>
    </x:row>
    <x:row r="93" ht="62" customHeight="1">
      <x:c r="A93" s="86" t="n">
        <x:v>92</x:v>
      </x:c>
      <x:c r="B93" s="88" t="str">
        <x:v>Physiological response of red pepper to different irrigation regimes under drip irrigation in the Mediterranean region of Turkey</x:v>
      </x:c>
      <x:c r="C93" s="88" t="str">
        <x:v>10.1016/j.scienta.2018.10.037</x:v>
      </x:c>
      <x:c r="D93" s="88" t="n">
        <x:v>2019</x:v>
      </x:c>
      <x:c r="E93" s="88" t="str">
        <x:v>Scientia Horticulturae</x:v>
      </x:c>
      <x:c r="F93" s="88" t="str">
        <x:v>High</x:v>
      </x:c>
      <x:c r="G93" s="88" t="str">
        <x:v>Available</x:v>
      </x:c>
      <x:c r="H93" s="88" t="str">
        <x:v>Semantic Scholar</x:v>
      </x:c>
      <x:c r="I93" s="88" t="str">
        <x:v>Abstract A study was conducted to analyse the physiological response of red pepper (Capsicum annuum L.) to different irrigation regimes by means of periodical measurements of leaf water potential (LWP) and stomatal resistance (rs) and crop water stress index (CWSI) at midday during 2010 and 2011 seasons in the Mediterranean region of Turkey. The treatments consisted of full irrigation (FI), deficit irrigation (DI-75, DI-50), partial root zone drying (PRD-A, PRD-F, A: alternative, F: fixed). The greatest yield was obtained from the FI treatment followed by DI-75, PRD-A, DI-50 and PRD-F treatments resulted in the smallest yield. The FI irrigation treatment had less stomatal resistance (17.4 s cm−1 in 2010 and 16.4 s cm−1 in 2011) and CWSI (0.25 in 2010 and 0.27 in 2011) in comparison with deficit irrigation treatments. Red pepper performed best at FI with a corresponding leaf water potential of -0.65 to -0.53 MPa for experimental years. There were large differences among treatments in LWP, CWSI and rs, indicating that crop responded differently to different soil water levels. Significant relationship between stomatal resistance, water use and yield were obtained. The results also revealed significant dependency among CWSI, rs and LWP were found.</x:v>
      </x:c>
      <x:c r="J93" s="88" t="str">
        <x:v>Irrigation Practices and Water Management; Greenhouse Technology and Climate Control; Plant Physiology and Cultivation Studies; Environmental Science</x:v>
      </x:c>
      <x:c r="K93" s="88" t="str">
        <x:v>https://doi.org/10.1016/j.scienta.2018.10.037 ; https://openalex.org/W2898580245 ; https://www.semanticscholar.org/paper/f44f9ab9480090b60cda3b35ee6ad9f5917cef24</x:v>
      </x:c>
    </x:row>
    <x:row r="94" ht="62" customHeight="1">
      <x:c r="A94" s="86" t="n">
        <x:v>93</x:v>
      </x:c>
      <x:c r="B94" s="88" t="str">
        <x:v>An IoT based smart irrigation management system using Machine learning and open source technologies</x:v>
      </x:c>
      <x:c r="C94" s="88" t="str">
        <x:v>10.1016/j.compag.2018.09.040</x:v>
      </x:c>
      <x:c r="D94" s="88" t="n">
        <x:v>2018</x:v>
      </x:c>
      <x:c r="E94" s="88" t="str">
        <x:v>Computers and Electronics in Agriculture</x:v>
      </x:c>
      <x:c r="F94" s="88" t="str">
        <x:v>High</x:v>
      </x:c>
      <x:c r="G94" s="88" t="str">
        <x:v>Available</x:v>
      </x:c>
      <x:c r="H94" s="88" t="str">
        <x:v>Semantic Scholar</x:v>
      </x:c>
      <x:c r="I94"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J94" s="88" t="str">
        <x:v>Smart Agriculture and AI; Water Quality Monitoring Technologies; Internet of Things and AI; Computer Science</x:v>
      </x:c>
      <x:c r="K94" s="88" t="str">
        <x:v>https://doi.org/10.1016/j.compag.2018.09.040 ; https://openalex.org/W2896625020 ; https://www.semanticscholar.org/paper/dc367cca9a8c687edb8aa09b7ac3fafc802d0d38</x:v>
      </x:c>
    </x:row>
    <x:row r="95" ht="62" customHeight="1">
      <x:c r="A95" s="86" t="n">
        <x:v>94</x:v>
      </x:c>
      <x:c r="B95" s="88" t="str">
        <x:v>Remote sensing to estimate ET-fluxes and the performance of an irrigation district in southern Italy</x:v>
      </x:c>
      <x:c r="C95" s="88" t="str">
        <x:v>10.1016/j.agwat.2005.04.008</x:v>
      </x:c>
      <x:c r="D95" s="88" t="n">
        <x:v>2006</x:v>
      </x:c>
      <x:c r="E95" s="88" t="str">
        <x:v>Agricultural Water Management</x:v>
      </x:c>
      <x:c r="F95" s="88" t="str">
        <x:v>High</x:v>
      </x:c>
      <x:c r="G95" s="88" t="str">
        <x:v>Not found in Crossref/OpenAlex/Semantic Scholar</x:v>
      </x:c>
      <x:c r="H95" s="88" t="str"/>
      <x:c r="I95" s="88" t="str"/>
      <x:c r="J95" s="88" t="str">
        <x:v>Plant Water Relations and Carbon Dynamics; Remote Sensing in Agriculture; Remote Sensing and LiDAR Applications; Environmental Science</x:v>
      </x:c>
      <x:c r="K95" s="88" t="str">
        <x:v>https://doi.org/10.1016/j.agwat.2005.04.008 ; https://openalex.org/W2057742755 ; https://www.semanticscholar.org/paper/2642ebadd406dd71b1eec73e23876493990e24ca</x:v>
      </x:c>
    </x:row>
    <x:row r="96" ht="62" customHeight="1">
      <x:c r="A96" s="86" t="n">
        <x:v>95</x:v>
      </x:c>
      <x:c r="B96" s="88" t="str">
        <x:v>Drip-irrigated pepper production in Florida</x:v>
      </x:c>
      <x:c r="C96" s="88" t="str">
        <x:v>10.21273/horttech.16.2.0283</x:v>
      </x:c>
      <x:c r="D96" s="88" t="n">
        <x:v>2006</x:v>
      </x:c>
      <x:c r="E96" s="88" t="str">
        <x:v>HortTechnology</x:v>
      </x:c>
      <x:c r="F96" s="88" t="str">
        <x:v>Unverified</x:v>
      </x:c>
      <x:c r="G96" s="88" t="str">
        <x:v>Not found in Crossref/OpenAlex/Semantic Scholar</x:v>
      </x:c>
      <x:c r="H96" s="88" t="str"/>
      <x:c r="I96" s="88" t="str"/>
      <x:c r="J96" s="88" t="str"/>
      <x:c r="K96" s="88" t="str"/>
    </x:row>
    <x:row r="97" ht="62" customHeight="1">
      <x:c r="A97" s="86" t="n">
        <x:v>96</x:v>
      </x:c>
      <x:c r="B97" s="88" t="str">
        <x:v>Effects of soil water deficit on yield and quality of processing tomato under a Mediterranean climate</x:v>
      </x:c>
      <x:c r="C97" s="88" t="str">
        <x:v>10.1016/j.agwat.2009.08.021</x:v>
      </x:c>
      <x:c r="D97" s="88" t="n">
        <x:v>2010</x:v>
      </x:c>
      <x:c r="E97" s="88" t="str">
        <x:v>Agricultural Water Management</x:v>
      </x:c>
      <x:c r="F97" s="88" t="str">
        <x:v>High</x:v>
      </x:c>
      <x:c r="G97" s="88" t="str">
        <x:v>Not found in Crossref/OpenAlex/Semantic Scholar</x:v>
      </x:c>
      <x:c r="H97" s="88" t="str"/>
      <x:c r="I97" s="88" t="str"/>
      <x:c r="J97" s="88" t="str">
        <x:v>Irrigation Practices and Water Management; Plant Water Relations and Carbon Dynamics; Greenhouse Technology and Climate Control; Environmental Science</x:v>
      </x:c>
      <x:c r="K97" s="88" t="str">
        <x:v>https://doi.org/10.1016/j.agwat.2009.08.021 ; https://openalex.org/W2122769743 ; https://www.semanticscholar.org/paper/7ca08f47cbf463002a6235a254ad917fc83360a1</x:v>
      </x:c>
    </x:row>
    <x:row r="98" ht="62" customHeight="1">
      <x:c r="A98" s="86" t="n">
        <x:v>97</x:v>
      </x:c>
      <x:c r="B98" s="88" t="str">
        <x:v>A comprehensive review of IoT and wireless sensor networks in precision agriculture</x:v>
      </x:c>
      <x:c r="C98" s="88" t="str">
        <x:v>10.1109/access.2021.3129552</x:v>
      </x:c>
      <x:c r="D98" s="88" t="n">
        <x:v>2021</x:v>
      </x:c>
      <x:c r="E98" s="88" t="str">
        <x:v>IEEE Access</x:v>
      </x:c>
      <x:c r="F98" s="88" t="str">
        <x:v>Unverified</x:v>
      </x:c>
      <x:c r="G98" s="88" t="str">
        <x:v>Not found in Crossref/OpenAlex/Semantic Scholar</x:v>
      </x:c>
      <x:c r="H98" s="88" t="str"/>
      <x:c r="I98" s="88" t="str"/>
      <x:c r="J98" s="88" t="str"/>
      <x:c r="K98" s="88" t="str"/>
    </x:row>
    <x:row r="99" ht="62" customHeight="1">
      <x:c r="A99" s="86" t="n">
        <x:v>98</x:v>
      </x:c>
      <x:c r="B99" s="88" t="str">
        <x:v>Yield response and N-fertiliser recovery of tomato grown under deficit irrigation</x:v>
      </x:c>
      <x:c r="C99" s="88" t="str">
        <x:v>10.1016/j.eja.2006.08.004</x:v>
      </x:c>
      <x:c r="D99" s="88" t="n">
        <x:v>2007</x:v>
      </x:c>
      <x:c r="E99" s="88" t="str">
        <x:v>European Journal of Agronomy</x:v>
      </x:c>
      <x:c r="F99" s="88" t="str">
        <x:v>High</x:v>
      </x:c>
      <x:c r="G99" s="88" t="str">
        <x:v>Not found in Crossref/OpenAlex/Semantic Scholar</x:v>
      </x:c>
      <x:c r="H99" s="88" t="str"/>
      <x:c r="I99" s="88" t="str"/>
      <x:c r="J99" s="88" t="str">
        <x:v>Irrigation Practices and Water Management; Plant Water Relations and Carbon Dynamics; Greenhouse Technology and Climate Control; Chemistry</x:v>
      </x:c>
      <x:c r="K99" s="88" t="str">
        <x:v>https://doi.org/10.1016/j.eja.2006.08.004 ; https://openalex.org/W2054142450 ; https://www.semanticscholar.org/paper/316d0bae6b750ad401e439bd40939e03731004e5</x:v>
      </x:c>
    </x:row>
    <x:row r="100" ht="62" customHeight="1">
      <x:c r="A100" s="86" t="n">
        <x:v>99</x:v>
      </x:c>
      <x:c r="B100" s="88" t="str">
        <x:v>Evaluation and Performance Analysis of Chinese Remainder Theorem and Its Application to Lossless Image Compression</x:v>
      </x:c>
      <x:c r="C100" s="88" t="str">
        <x:v>10.5120/ijca2021921556</x:v>
      </x:c>
      <x:c r="D100" s="88" t="n">
        <x:v>2021</x:v>
      </x:c>
      <x:c r="E100" s="88" t="str">
        <x:v>International Journal of Computer Applications</x:v>
      </x:c>
      <x:c r="F100" s="88" t="str">
        <x:v>Unverified</x:v>
      </x:c>
      <x:c r="G100" s="88" t="str">
        <x:v>Not found in Crossref/OpenAlex/Semantic Scholar</x:v>
      </x:c>
      <x:c r="H100" s="88" t="str"/>
      <x:c r="I100" s="88" t="str"/>
      <x:c r="J100" s="88" t="str"/>
      <x:c r="K100" s="88" t="str"/>
    </x:row>
    <x:row r="101" ht="62" customHeight="1">
      <x:c r="A101" s="86" t="n">
        <x:v>100</x:v>
      </x:c>
      <x:c r="B101" s="88" t="str">
        <x:v>Hyperledger fabric</x:v>
      </x:c>
      <x:c r="C101" s="88" t="str">
        <x:v>10.1145/3190508.3190538</x:v>
      </x:c>
      <x:c r="D101" s="88" t="n">
        <x:v>2018</x:v>
      </x:c>
      <x:c r="E101" s="88" t="str">
        <x:v>Proceedings of the Thirteenth EuroSys Conference</x:v>
      </x:c>
      <x:c r="F101" s="88" t="str">
        <x:v>High</x:v>
      </x:c>
      <x:c r="G101" s="88" t="str">
        <x:v>Available</x:v>
      </x:c>
      <x:c r="H101" s="88" t="str">
        <x:v>OpenAlex</x:v>
      </x:c>
      <x:c r="I101" s="88" t="str">
        <x:v>Fabric is a modular and extensible open-source system for deploying and operating permissioned blockchains and one of the Hyperledger projects hosted by the Linux Foundation (www.hyperledger.org).</x:v>
      </x:c>
      <x:c r="J101" s="88" t="str">
        <x:v>Blockchain Technology Applications and Security; Distributed systems and fault tolerance; Security and Verification in Computing; Computer Science</x:v>
      </x:c>
      <x:c r="K101" s="88" t="str">
        <x:v>https://doi.org/10.1145/3190508.3190538 ; https://openalex.org/W4300127641 ; https://www.semanticscholar.org/paper/1b4c39ba447e8098291e47fd5da32ca650f41181</x:v>
      </x:c>
    </x:row>
    <x:row r="102" ht="62" customHeight="1">
      <x:c r="A102" s="86" t="n">
        <x:v>101</x:v>
      </x:c>
      <x:c r="B102" s="88" t="str">
        <x:v>A supply chain traceability system for food safety based on HACCP, blockchain &amp;amp; Internet of things</x:v>
      </x:c>
      <x:c r="C102" s="88" t="str">
        <x:v>10.1109/icsssm.2017.7996119</x:v>
      </x:c>
      <x:c r="D102" s="88" t="n">
        <x:v>2017</x:v>
      </x:c>
      <x:c r="E102" s="88" t="str">
        <x:v>2017 International Conference on Service Systems and Service Management</x:v>
      </x:c>
      <x:c r="F102" s="88" t="str">
        <x:v>High</x:v>
      </x:c>
      <x:c r="G102" s="88" t="str">
        <x:v>Available</x:v>
      </x:c>
      <x:c r="H102" s="88" t="str">
        <x:v>OpenAlex</x:v>
      </x:c>
      <x:c r="I102"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J102" s="88" t="str">
        <x:v>Food Supply Chain Traceability; Food Waste Reduction and Sustainability; Food Safety and Hygiene; Computer Science</x:v>
      </x:c>
      <x:c r="K102" s="88" t="str">
        <x:v>https://doi.org/10.1109/icsssm.2017.7996119 ; https://openalex.org/W2740090788 ; https://www.semanticscholar.org/paper/304083f2a7b00d07d7c33883e2e74ac0fd8245c5</x:v>
      </x:c>
    </x:row>
    <x:row r="103" ht="62" customHeight="1">
      <x:c r="A103" s="86" t="n">
        <x:v>102</x:v>
      </x:c>
      <x:c r="B103" s="88" t="str">
        <x:v>On blockchain and its integration with IoT. Challenges and opportunities</x:v>
      </x:c>
      <x:c r="C103" s="88" t="str">
        <x:v>10.1016/j.future.2018.05.046</x:v>
      </x:c>
      <x:c r="D103" s="88" t="n">
        <x:v>2018</x:v>
      </x:c>
      <x:c r="E103" s="88" t="str">
        <x:v>Future Generation Computer Systems</x:v>
      </x:c>
      <x:c r="F103" s="88" t="str">
        <x:v>High</x:v>
      </x:c>
      <x:c r="G103" s="88" t="str">
        <x:v>Available</x:v>
      </x:c>
      <x:c r="H103" s="88" t="str">
        <x:v>OpenAlex</x:v>
      </x:c>
      <x:c r="I103" s="88" t="str">
        <x:v>In the Internet of Things (IoT) vision, conventional devices become smart and autonomous. This vision is turning into a reality thanks to advances in technology, but there are still challenges to address, particularly in the security domain e.g., data reliability. Taking into account the predicted evolution of the IoT in the coming years, it is necessary to provide confidence in this huge incoming information source. Blockchain has emerged as a key technology that will transform the way in which we share information. Building trust in distributed environments without the need for authorities is a technological advance that has the potential to change many industries, the IoT among them. Disruptive technologies such as big data and cloud computing have been leveraged by IoT to overcome its limitations since its conception, and we think blockchain will be one of the next ones. This paper focuses on this relationship, investigates challenges in blockchain IoT applications, and surveys the most relevant work in order to analyze how blockchain could potentially improve the IoT.</x:v>
      </x:c>
      <x:c r="J103" s="88" t="str">
        <x:v>Blockchain Technology Applications and Security; IoT and Edge/Fog Computing; Caching and Content Delivery; Computer Science</x:v>
      </x:c>
      <x:c r="K103" s="88" t="str">
        <x:v>https://doi.org/10.1016/j.future.2018.05.046 ; https://openalex.org/W2803371618 ; https://www.semanticscholar.org/paper/5006904fbdd9daa5ad534393a45705a719dd8527</x:v>
      </x:c>
    </x:row>
    <x:row r="104" ht="62" customHeight="1">
      <x:c r="A104" s="86" t="n">
        <x:v>103</x:v>
      </x:c>
      <x:c r="B104" s="88" t="str">
        <x:v>A Framework for Blockchain-Based Smart Farming System Using IoT</x:v>
      </x:c>
      <x:c r="C104" s="88" t="str">
        <x:v>10.1109/access.2022.3142563</x:v>
      </x:c>
      <x:c r="D104" s="88" t="n">
        <x:v>2022</x:v>
      </x:c>
      <x:c r="E104" s="88" t="str">
        <x:v>IEEE Access</x:v>
      </x:c>
      <x:c r="F104" s="88" t="str">
        <x:v>Unverified</x:v>
      </x:c>
      <x:c r="G104" s="88" t="str">
        <x:v>Not found in Crossref/OpenAlex/Semantic Scholar</x:v>
      </x:c>
      <x:c r="H104" s="88" t="str"/>
      <x:c r="I104" s="88" t="str"/>
      <x:c r="J104" s="88" t="str"/>
      <x:c r="K104" s="88" t="str"/>
    </x:row>
    <x:row r="105" ht="62" customHeight="1">
      <x:c r="A105" s="86" t="n">
        <x:v>104</x:v>
      </x:c>
      <x:c r="B105" s="88" t="str">
        <x:v>An IoT based smart irrigation management system using Machine learning and open source technologies</x:v>
      </x:c>
      <x:c r="C105" s="88" t="str">
        <x:v>10.1016/j.compag.2018.09.040</x:v>
      </x:c>
      <x:c r="D105" s="88" t="n">
        <x:v>2018</x:v>
      </x:c>
      <x:c r="E105" s="88" t="str">
        <x:v>Computers and Electronics in Agriculture</x:v>
      </x:c>
      <x:c r="F105" s="88" t="str">
        <x:v>High</x:v>
      </x:c>
      <x:c r="G105" s="88" t="str">
        <x:v>Available</x:v>
      </x:c>
      <x:c r="H105" s="88" t="str">
        <x:v>Semantic Scholar</x:v>
      </x:c>
      <x:c r="I105" s="88" t="str">
        <x:v>Abstract The scarcity of clean water resources around the globe has generated a need for their optimum utilization. Internet of Things (IoT) solutions, based on the application specific sensors’ data acquisition and intelligent processing, are bridging the gaps between the cyber and physical worlds. IoT based smart irrigation management systems can help in achieving optimum water-resource utilization in the precision farming landscape. This paper presents an open-source technology based smart system to predict the irrigation requirements of a field using the sensing of ground parameter like soil moisture, soil temperature, and environmental conditions along with the weather forecast data from the Internet. The sensing nodes, involved in the ground and environmental sensing, consider soil moisture, soil temperature, air temperature, Ultraviolet (UV) light radiation, and relative humidity of the crop field. The intelligence of the proposed system is based on a smart algorithm, which considers sensed data along with the weather forecast parameters like precipitation, air temperature, humidity, and UV for the near future. The complete system has been developed and deployed on a pilot scale, where the sensor node data is wirelessly collected over the cloud using web-services and a web-based information visualization and decision support system provides the real-time information insights based on the analysis of sensors data and weather forecast data. The system has a provision for a closed-loop control of the water supply to realize a fully autonomous irrigation scheme. The paper describes the system and discusses in detail the information processing results of three weeks data based on the proposed algorithm. The system is fully functional and the prediction results are very encouraging.</x:v>
      </x:c>
      <x:c r="J105" s="88" t="str">
        <x:v>Smart Agriculture and AI; Water Quality Monitoring Technologies; Internet of Things and AI; Computer Science</x:v>
      </x:c>
      <x:c r="K105" s="88" t="str">
        <x:v>https://doi.org/10.1016/j.compag.2018.09.040 ; https://openalex.org/W2896625020 ; https://www.semanticscholar.org/paper/dc367cca9a8c687edb8aa09b7ac3fafc802d0d38</x:v>
      </x:c>
    </x:row>
    <x:row r="106" ht="62" customHeight="1">
      <x:c r="A106" s="86" t="n">
        <x:v>105</x:v>
      </x:c>
      <x:c r="B106" s="88" t="str">
        <x:v>Digital twins in smart farming</x:v>
      </x:c>
      <x:c r="C106" s="88" t="str">
        <x:v>10.1016/j.agsy.2020.103046</x:v>
      </x:c>
      <x:c r="D106" s="88" t="n">
        <x:v>2021</x:v>
      </x:c>
      <x:c r="E106" s="88" t="str">
        <x:v>Agricultural Systems</x:v>
      </x:c>
      <x:c r="F106" s="88" t="str">
        <x:v>High</x:v>
      </x:c>
      <x:c r="G106" s="88" t="str">
        <x:v>Available</x:v>
      </x:c>
      <x:c r="H106" s="88" t="str">
        <x:v>OpenAlex</x:v>
      </x:c>
      <x:c r="I106" s="88" t="str">
        <x:v>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x:v>
      </x:c>
      <x:c r="J106" s="88" t="str">
        <x:v>Digital Transformation in Industry; Smart Agriculture and AI; IoT and Edge/Fog Computing; Computer Science</x:v>
      </x:c>
      <x:c r="K106" s="88" t="str">
        <x:v>https://doi.org/10.1016/j.agsy.2020.103046 ; https://openalex.org/W3127757142 ; https://www.semanticscholar.org/paper/96de9ebbfc453d52c255d90d55eb7d09206c9581</x:v>
      </x:c>
    </x:row>
    <x:row r="107" ht="62" customHeight="1">
      <x:c r="A107" s="86" t="n">
        <x:v>106</x:v>
      </x:c>
      <x:c r="B107" s="88" t="str">
        <x:v>IOT BASED SMART AGRICULTURE</x:v>
      </x:c>
      <x:c r="C107" s="88" t="str">
        <x:v>10.37255/jme.v16i3pp077-081</x:v>
      </x:c>
      <x:c r="D107" s="88" t="n">
        <x:v>2021</x:v>
      </x:c>
      <x:c r="E107" s="88" t="str">
        <x:v>Journal of Manufacturing Engineering</x:v>
      </x:c>
      <x:c r="F107" s="88" t="str">
        <x:v>High</x:v>
      </x:c>
      <x:c r="G107" s="88" t="str">
        <x:v>Available</x:v>
      </x:c>
      <x:c r="H107" s="88" t="str">
        <x:v>Crossref</x:v>
      </x:c>
      <x:c r="I107" s="88" t="str">
        <x:v>Agriculture plays a vital role in the development of an agricultural country. Around 70% of people depend on farming in our country, and one-third of the nation's income comes from agriculture. Issues concerning agriculture have been continually impeding the improvement of the nation. The main answer for this issue is smart agriculture by modernizing the current customary strategies for farming. Henceforth the undertaking targets making agribusiness smart using computerization and IoT advances. The featuring highlights of this project incorporate smart GPSbased remote-controlled robots to perform errands like weeding, sensing moisture, animal and bird scaring, spraying, and so on. Also, it contains smart irrigation with savvy control and canny dynamic dependent on precise ongoing field information. Thirdly, smart warehouse management includes temperature support, humidity maintenance, and burglary discovery in the stockroom. Controlling of every one of these tasks will be through any far-off shrewd gadget or PC associated with the Web, and the tasks will be performed by interfacing sensors, Wi-Fi or ZigBee modules, camera and actuators with miniature regulator and raspberry pi</x:v>
      </x:c>
      <x:c r="J107" s="88" t="str">
        <x:v>Smart Agriculture and AI</x:v>
      </x:c>
      <x:c r="K107" s="88" t="str">
        <x:v>https://doi.org/10.37255/jme.v16i3pp077-081 ; https://openalex.org/W4211039917 ; https://www.semanticscholar.org/paper/c77d1965f44f2aa55eef4220251841e9551ed1b2</x:v>
      </x:c>
    </x:row>
    <x:row r="108" ht="62" customHeight="1">
      <x:c r="A108" s="86" t="n">
        <x:v>107</x:v>
      </x:c>
      <x:c r="B108" s="88" t="str">
        <x:v>A blockchain- and self-sovereign identity-based collaborative framework for secure and verifiable cross-organizational data sharing in smart irrigation</x:v>
      </x:c>
      <x:c r="C108" s="88" t="str">
        <x:v>10.1016/j.atech.2025.101654</x:v>
      </x:c>
      <x:c r="D108" s="88" t="n">
        <x:v>2025</x:v>
      </x:c>
      <x:c r="E108" s="88" t="str">
        <x:v>Smart Agricultural Technology</x:v>
      </x:c>
      <x:c r="F108" s="88" t="str">
        <x:v>High</x:v>
      </x:c>
      <x:c r="G108" s="88" t="str">
        <x:v>Available</x:v>
      </x:c>
      <x:c r="H108" s="88" t="str">
        <x:v>OpenAlex</x:v>
      </x:c>
      <x:c r="I108"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J108" s="88" t="str">
        <x:v>Blockchain Technology Applications and Security; Smart Agriculture and AI; IoT and Edge/Fog Computing</x:v>
      </x:c>
      <x:c r="K108" s="88" t="str">
        <x:v>https://doi.org/10.1016/j.atech.2025.101654 ; https://openalex.org/W4416451026 ; https://www.semanticscholar.org/paper/1a5653e447f1df9cee9400c6c082aecff7fff0a9</x:v>
      </x:c>
    </x:row>
    <x:row r="109" ht="62" customHeight="1">
      <x:c r="A109" s="86" t="n">
        <x:v>108</x:v>
      </x:c>
      <x:c r="B109" s="88" t="str">
        <x:v>Challenges to Manage the Risk of Water Scarcity and Climate Change in the Mediterranean</x:v>
      </x:c>
      <x:c r="C109" s="88" t="str">
        <x:v>10.1007/s11269-006-9111-6</x:v>
      </x:c>
      <x:c r="D109" s="88" t="n">
        <x:v>2006</x:v>
      </x:c>
      <x:c r="E109" s="88" t="str">
        <x:v>Water Resources Management</x:v>
      </x:c>
      <x:c r="F109" s="88" t="str">
        <x:v>High</x:v>
      </x:c>
      <x:c r="G109" s="88" t="str">
        <x:v>Not found in Crossref/OpenAlex/Semantic Scholar</x:v>
      </x:c>
      <x:c r="H109" s="88" t="str"/>
      <x:c r="I109" s="88" t="str"/>
      <x:c r="J109" s="88" t="str">
        <x:v>Water resources management and optimization; Hydrology and Drought Analysis; Flood Risk Assessment and Management; Business</x:v>
      </x:c>
      <x:c r="K109" s="88" t="str">
        <x:v>https://doi.org/10.1007/s11269-006-9111-6 ; https://openalex.org/W2063719203 ; https://www.semanticscholar.org/paper/52ef740c06a51fece2431a0255033d171fdb5e9b</x:v>
      </x:c>
    </x:row>
    <x:row r="110" ht="62" customHeight="1">
      <x:c r="A110" s="86" t="n">
        <x:v>109</x:v>
      </x:c>
      <x:c r="B110" s="88" t="str">
        <x:v>Agriculture sustainability in arid lands of southern Tunisia: Ecological impacts of irrigation water quality and human practices*</x:v>
      </x:c>
      <x:c r="C110" s="88" t="str">
        <x:v>10.1002/ird.2492</x:v>
      </x:c>
      <x:c r="D110" s="88" t="n">
        <x:v>2020</x:v>
      </x:c>
      <x:c r="E110" s="88" t="str">
        <x:v>Irrigation and Drainage</x:v>
      </x:c>
      <x:c r="F110" s="88" t="str">
        <x:v>High</x:v>
      </x:c>
      <x:c r="G110" s="88" t="str">
        <x:v>Available</x:v>
      </x:c>
      <x:c r="H110" s="88" t="str">
        <x:v>Crossref</x:v>
      </x:c>
      <x:c r="I110" s="88" t="str">
        <x:v>Abstract Groundwater resources in southwestern Tunisia are facing serious quantity and quality degradation. Given that they are the only source used for oasis irrigation, serious impacts on the soil of the region are expected. Accordingly, the main objective of this study is to evaluate the suitability of the sampled water from the Complex Terminal aquifer for irrigation purposes and to determine the potential impacts of their long‐term use within the present agricultural practices on soil properties. The calculated ionic ratios indicate different classes ranging from permissible to unsuitable waters with respect to alkalinity standards (sodium adsorption ratio from 3.68 to 9.34, %Na from 36.7 to 61.2, and rill erodibility from 0.48 to 1.43). Water samples present high values of electrical conductivity, total dissolved solids, and potential salinity, about 54.5, 29.4, and 32.2%, respectively, which indicates serious salinity hazard. All the sampled waters may induce corrosion and clogging problems as deduced from the calculated light dynamic penetrometer and total hardness indices. The weighted water quality indices results (Canadian Water Quality Index and the irrigation water quality index) confirm the poor quality of the used irrigation water. The results of this study coupled with field investigations indicate that the cumulative impacts of low water quality and poor agricultural practices have damaged the total oasean ecosystem.</x:v>
      </x:c>
      <x:c r="J110" s="88" t="str">
        <x:v>Groundwater and Isotope Geochemistry; Water management and technologies; Groundwater and Watershed Analysis; Environmental Science</x:v>
      </x:c>
      <x:c r="K110" s="88" t="str">
        <x:v>https://doi.org/10.1002/ird.2492 ; https://openalex.org/W3046716741 ; https://www.semanticscholar.org/paper/41d05d22ad3a5e26d53048012d25e27379fac796</x:v>
      </x:c>
    </x:row>
    <x:row r="111" ht="62" customHeight="1">
      <x:c r="A111" s="86" t="n">
        <x:v>110</x:v>
      </x:c>
      <x:c r="B111" s="88" t="str">
        <x:v>Residue Number System-based Approach to Minimise Energy Consumption in Wireless Sensor Networks</x:v>
      </x:c>
      <x:c r="C111" s="88" t="str">
        <x:v>10.1109/access.2022.3146851</x:v>
      </x:c>
      <x:c r="D111" s="88" t="n">
        <x:v>2022</x:v>
      </x:c>
      <x:c r="E111" s="88" t="str">
        <x:v>IEEE Access</x:v>
      </x:c>
      <x:c r="F111" s="88" t="str">
        <x:v>Unverified</x:v>
      </x:c>
      <x:c r="G111" s="88" t="str">
        <x:v>Not found in Crossref/OpenAlex/Semantic Scholar</x:v>
      </x:c>
      <x:c r="H111" s="88" t="str"/>
      <x:c r="I111" s="88" t="str"/>
      <x:c r="J111" s="88" t="str"/>
      <x:c r="K111" s="88" t="str"/>
    </x:row>
    <x:row r="112" ht="62" customHeight="1">
      <x:c r="A112" s="86" t="n">
        <x:v>111</x:v>
      </x:c>
      <x:c r="B112" s="88" t="str">
        <x:v>A novel user authentication and key agreement scheme for heterogeneous ad hoc wireless sensor networks, based on the Internet of Things notion</x:v>
      </x:c>
      <x:c r="C112" s="88" t="str">
        <x:v>10.1016/j.adhoc.2014.03.009</x:v>
      </x:c>
      <x:c r="D112" s="88" t="n">
        <x:v>2014</x:v>
      </x:c>
      <x:c r="E112" s="88" t="str">
        <x:v>Ad Hoc Networks</x:v>
      </x:c>
      <x:c r="F112" s="88" t="str">
        <x:v>High</x:v>
      </x:c>
      <x:c r="G112" s="88" t="str">
        <x:v>Not found in Crossref/OpenAlex/Semantic Scholar</x:v>
      </x:c>
      <x:c r="H112" s="88" t="str"/>
      <x:c r="I112" s="88" t="str"/>
      <x:c r="J112" s="88" t="str">
        <x:v>Security in Wireless Sensor Networks; Advanced Authentication Protocols Security; Wireless Body Area Networks; Computer Science</x:v>
      </x:c>
      <x:c r="K112" s="88" t="str">
        <x:v>https://doi.org/10.1016/j.adhoc.2014.03.009 ; https://openalex.org/W2095054754 ; https://www.semanticscholar.org/paper/3f3e37228530858caf484dd035b35a40f470653e</x:v>
      </x:c>
    </x:row>
    <x:row r="113" ht="62" customHeight="1">
      <x:c r="A113" s="86" t="n">
        <x:v>112</x:v>
      </x:c>
      <x:c r="B113" s="88" t="str">
        <x:v>Number Plate Detection with a Multi-Convolutional Neural Network Approach with Optical Character Recognition for Mobile Devices</x:v>
      </x:c>
      <x:c r="C113" s="88" t="str">
        <x:v>10.3745/jips.04.0022</x:v>
      </x:c>
      <x:c r="D113" s="88" t="n">
        <x:v>2016</x:v>
      </x:c>
      <x:c r="E113" s="88" t="str">
        <x:v>Journal of Information Processing Systems</x:v>
      </x:c>
      <x:c r="F113" s="88" t="str">
        <x:v>High</x:v>
      </x:c>
      <x:c r="G113" s="88" t="str">
        <x:v>Available</x:v>
      </x:c>
      <x:c r="H113" s="88" t="str">
        <x:v>OpenAlex</x:v>
      </x:c>
      <x:c r="I113" s="88" t="str">
        <x:v>In this paper, we propose a method to achieve improved number plate detection for mobile devices by applying a multiple convolutional neural network (CNN) approach. First, we processed supervised CNN-verified car detection and then we applied the detected car regions to the next supervised CNN-verifier for number plate detection. In the final step, the detected number plate regions were verified through optical character recognition by another CNN-verifier. Since mobile devices are limited in computation power, we are proposing a fast method to recognize number plates. We expect for it to be used in the field of intelligent transportation systems.</x:v>
      </x:c>
      <x:c r="J113" s="88" t="str">
        <x:v>Vehicle License Plate Recognition; Handwritten Text Recognition Techniques; Blind Source Separation Techniques; Computer Science</x:v>
      </x:c>
      <x:c r="K113" s="88" t="str">
        <x:v>https://doi.org/10.3745/jips.04.0022 ; https://openalex.org/W2580288201 ; https://www.semanticscholar.org/paper/e015047bace9d909de956a9f3db70ab64a57d6a5</x:v>
      </x:c>
    </x:row>
    <x:row r="114" ht="62" customHeight="1">
      <x:c r="A114" s="86" t="n">
        <x:v>113</x:v>
      </x:c>
      <x:c r="B114" s="88" t="str">
        <x:v>A blockchain- and self-sovereign identity-based collaborative framework for secure and verifiable cross-organizational data sharing in smart irrigation</x:v>
      </x:c>
      <x:c r="C114" s="88" t="str">
        <x:v>10.1016/j.atech.2025.101654</x:v>
      </x:c>
      <x:c r="D114" s="88" t="n">
        <x:v>2025</x:v>
      </x:c>
      <x:c r="E114" s="88" t="str">
        <x:v>Smart Agricultural Technology</x:v>
      </x:c>
      <x:c r="F114" s="88" t="str">
        <x:v>High</x:v>
      </x:c>
      <x:c r="G114" s="88" t="str">
        <x:v>Available</x:v>
      </x:c>
      <x:c r="H114" s="88" t="str">
        <x:v>OpenAlex</x:v>
      </x:c>
      <x:c r="I114" s="88"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x:v>
      </x:c>
      <x:c r="J114" s="88" t="str">
        <x:v>Blockchain Technology Applications and Security; Smart Agriculture and AI; IoT and Edge/Fog Computing</x:v>
      </x:c>
      <x:c r="K114" s="88" t="str">
        <x:v>https://doi.org/10.1016/j.atech.2025.101654 ; https://openalex.org/W4416451026 ; https://www.semanticscholar.org/paper/1a5653e447f1df9cee9400c6c082aecff7fff0a9</x:v>
      </x:c>
    </x:row>
    <x:row r="115" ht="62" customHeight="1">
      <x:c r="A115" s="86" t="n">
        <x:v>114</x:v>
      </x:c>
      <x:c r="B115" s="88" t="str">
        <x:v>A review on different types of material joints fabricated by microwave hybrid heating method</x:v>
      </x:c>
      <x:c r="C115" s="88" t="str">
        <x:v>10.1016/j.matpr.2021.06.253</x:v>
      </x:c>
      <x:c r="D115" s="88" t="n">
        <x:v>2022</x:v>
      </x:c>
      <x:c r="E115" s="88" t="str">
        <x:v>Materials Today: Proceedings</x:v>
      </x:c>
      <x:c r="F115" s="88" t="str">
        <x:v>High</x:v>
      </x:c>
      <x:c r="G115" s="88" t="str">
        <x:v>Available</x:v>
      </x:c>
      <x:c r="H115" s="88" t="str">
        <x:v>Semantic Scholar</x:v>
      </x:c>
      <x:c r="I115" s="88" t="str">
        <x:v>Abstract In this paper, literature review on similar and dissimilar joints through microwave hybrid heating has been discussed briefly. A lot of restrictions of the conventional joining methods can be eliminated through microwave hybrid heating joining technique. Microwave hybrid heating also has one more advantage over other conventional processes that it is environment friendly and has good prospects of being adopted in industrial automation. This study discusses impact of different factors on properties of joints formed by microwave hybrid heating. Present study will also give directions to researchers about existing problems and future scope of this joining technique.</x:v>
      </x:c>
      <x:c r="J115" s="88" t="str">
        <x:v>Microwave-Assisted Synthesis and Applications; Advanced ceramic materials synthesis; Aluminum Alloys Composites Properties; Materials Science</x:v>
      </x:c>
      <x:c r="K115" s="88" t="str">
        <x:v>https://doi.org/10.1016/j.matpr.2021.06.253 ; https://openalex.org/W3175867934 ; https://www.semanticscholar.org/paper/0afe241b5fd5b72d824d0936e3c66a3a87af232f</x:v>
      </x:c>
    </x:row>
    <x:row r="116" ht="62" customHeight="1">
      <x:c r="A116" s="86" t="n">
        <x:v>115</x:v>
      </x:c>
      <x:c r="B116" s="88" t="str">
        <x:v>A review on monitoring and advanced control strategies for precision irrigation</x:v>
      </x:c>
      <x:c r="C116" s="88" t="str">
        <x:v>10.1016/j.compag.2020.105441</x:v>
      </x:c>
      <x:c r="D116" s="88" t="n">
        <x:v>2020</x:v>
      </x:c>
      <x:c r="E116" s="88" t="str">
        <x:v>Computers and Electronics in Agriculture</x:v>
      </x:c>
      <x:c r="F116" s="88" t="str">
        <x:v>High</x:v>
      </x:c>
      <x:c r="G116" s="88" t="str">
        <x:v>Available</x:v>
      </x:c>
      <x:c r="H116" s="88" t="str">
        <x:v>Semantic Scholar</x:v>
      </x:c>
      <x:c r="I116" s="88" t="str">
        <x:v>Abstract The demand for freshwater is on the increase due to the rapid growth in the world’s population while the effect of global warming and climate change cause severe threat to water use and food security. Consequently, irrigation systems are tremendously utilized by many farmers all over the world with its associated high amount of water consumption from various sources posing a major concern. This necessitates the increased focus on improving the efficiency of water usage in irrigation agriculture. The advent and rapid successes of the Internet of Things (IoT) and advanced control strategies are being leveraged to achieve improved monitoring and control of irrigation farming. In this review, a thorough search for literature on irrigation monitoring and advanced control systems highlighting the research works within the past ten years are presented. Attention is paid on recent research works related to the monitoring and advance control concepts for precision irrigation. It is expected that this review paper will serve as a useful reference to enhance reader’s knowledge on monitoring and advanced control opportunities related to irrigation agriculture as well as assist researchers in identifying directions and gaps to future research works in this field.</x:v>
      </x:c>
      <x:c r="J116" s="88" t="str">
        <x:v>Smart Agriculture and AI; Irrigation Practices and Water Management; Evolutionary Algorithms and Applications; Computer Science; Business</x:v>
      </x:c>
      <x:c r="K116" s="88" t="str">
        <x:v>https://doi.org/10.1016/j.compag.2020.105441 ; https://openalex.org/W3022538632 ; https://www.semanticscholar.org/paper/d53d3a89481f745757f720ccc789f358214902ca</x:v>
      </x:c>
    </x:row>
    <x:row r="117" ht="62" customHeight="1">
      <x:c r="A117" s="86" t="n">
        <x:v>116</x:v>
      </x:c>
      <x:c r="B117" s="88" t="str">
        <x:v>Adaptation strategies for agricultural water management under climate change in Europe</x:v>
      </x:c>
      <x:c r="C117" s="88" t="str">
        <x:v>10.1016/j.agwat.2015.03.014</x:v>
      </x:c>
      <x:c r="D117" s="88" t="n">
        <x:v>2015</x:v>
      </x:c>
      <x:c r="E117" s="88" t="str">
        <x:v>Agricultural Water Management</x:v>
      </x:c>
      <x:c r="F117" s="88" t="str">
        <x:v>High</x:v>
      </x:c>
      <x:c r="G117" s="88" t="str">
        <x:v>Available</x:v>
      </x:c>
      <x:c r="H117" s="88" t="str">
        <x:v>OpenAlex</x:v>
      </x:c>
      <x:c r="I117" s="88" t="str">
        <x:v>Climate change is expected to intensify the existing risks, particularly in regions where water scarcity is already a concern, as well as create new opportunities in some areas. Efforts to develop adaptation strategies for agricultural water management can benefit from understanding the risks and adaptation strategies proposed to date. This understanding may assist in developing priorities for the adaptation of water resources for irrigation. Here we characterise the main risks across European regions and evaluate adaptation strategies by reviewing over 168 highly relevant publications that appeared in the last 15 years. Based on this extensive database we characterise the effort and benefit of a number of agronomic and policy measures, aiming to develop concrete adaptation plans and responding to concrete regional challenges. The adaptation choices consider current technological perspectives and do not project future technological change; we are certain that technological change will shape some choices for adaptation in the coming decades. The greatest scope for action is in improving adaptive capacity and responding to changes in water demands, however the implementation requires revamping current water policy, adequate training to farmers and viable financial instruments. These results aim to assist stakeholders as they take up the adaptation challenge and develop measures to reduce the vulnerability of the sector to climate change.</x:v>
      </x:c>
      <x:c r="J117" s="88" t="str">
        <x:v>Climate change impacts on agriculture; Hydrology and Watershed Management Studies; Water resources management and optimization; Business</x:v>
      </x:c>
      <x:c r="K117" s="88" t="str">
        <x:v>https://doi.org/10.1016/j.agwat.2015.03.014 ; https://openalex.org/W2045421681 ; https://www.semanticscholar.org/paper/85244d727bfc632e9037b9c0245b8878d3bf5eee</x:v>
      </x:c>
    </x:row>
    <x:row r="118" ht="62" customHeight="1">
      <x:c r="A118" s="86" t="n">
        <x:v>117</x:v>
      </x:c>
      <x:c r="B118" s="88" t="str">
        <x:v>Deficit irrigation for reducing agricultural water use</x:v>
      </x:c>
      <x:c r="C118" s="88" t="str">
        <x:v>10.1093/jxb/erl165</x:v>
      </x:c>
      <x:c r="D118" s="88" t="n">
        <x:v>2006</x:v>
      </x:c>
      <x:c r="E118" s="88" t="str">
        <x:v>Journal of Experimental Botany</x:v>
      </x:c>
      <x:c r="F118" s="88" t="str">
        <x:v>High</x:v>
      </x:c>
      <x:c r="G118" s="88" t="str">
        <x:v>Available</x:v>
      </x:c>
      <x:c r="H118" s="88" t="str">
        <x:v>OpenAlex</x:v>
      </x:c>
      <x:c r="I118" s="88" t="str">
        <x:v>At present and more so in the future, irrigated agriculture will take place under water scarcity. Insufficient water supply for irrigation will be the norm rather than the exception, and irrigation management will shift from emphasizing production per unit area towards maximizing the production per unit of water consumed, the water productivity. To cope with scarce supplies, deficit irrigation, defined as the application of water below full crop-water requirements (evapotranspiration), is an important tool to achieve the goal of reducing irrigation water use. While deficit irrigation is widely practised over millions of hectares for a number of reasons - from inadequate network design to excessive irrigation expansion relative to catchment supplies - it has not received sufficient attention in research. Its use in reducing water consumption for biomass production, and for irrigation of annual and perennial crops is reviewed here. There is potential for improving water productivity in many field crops and there is sufficient information for defining the best deficit irrigation strategy for many situations. One conclusion is that the level of irrigation supply under deficit irrigation should be relatively high in most cases, one that permits achieving 60-100% of full evapotranspiration. Several cases on the successful use of regulated deficit irrigation (RDI) in fruit trees and vines are reviewed, showing that RDI not only increases water productivity, but also farmers' profits. Research linking the physiological basis of these responses to the design of RDI strategies is likely to have a significant impact in increasing its adoption in water-limited areas.</x:v>
      </x:c>
      <x:c r="J118" s="88" t="str">
        <x:v>Plant Water Relations and Carbon Dynamics; Irrigation Practices and Water Management; Greenhouse Technology and Climate Control; Environmental Science; Medicine</x:v>
      </x:c>
      <x:c r="K118" s="88" t="str">
        <x:v>https://doi.org/10.1093/jxb/erl165 ; https://openalex.org/W2144260204 ; https://www.semanticscholar.org/paper/3626a7d0264ed273d34417805055506188f947a9</x:v>
      </x:c>
    </x:row>
    <x:row r="119" ht="62" customHeight="1">
      <x:c r="A119" s="86" t="n">
        <x:v>118</x:v>
      </x:c>
      <x:c r="B119" s="88" t="str">
        <x:v>Blockchain‐Empowered H‐CPS Architecture for Smart Agriculture</x:v>
      </x:c>
      <x:c r="C119" s="88" t="str">
        <x:v>10.1002/advs.202503102</x:v>
      </x:c>
      <x:c r="D119" s="88" t="n">
        <x:v>2025</x:v>
      </x:c>
      <x:c r="E119" s="88" t="str">
        <x:v>Advanced Science</x:v>
      </x:c>
      <x:c r="F119" s="88" t="str">
        <x:v>High</x:v>
      </x:c>
      <x:c r="G119" s="88" t="str">
        <x:v>Available</x:v>
      </x:c>
      <x:c r="H119" s="88" t="str">
        <x:v>Crossref</x:v>
      </x:c>
      <x:c r="I119" s="88" t="str">
        <x:v>Abstract This study integrates blockchain technology into smart agriculture to enhance its productivity and sustainability. By combining blockchain with remote sensing, artificial intelligence (AI), and the Internet of Things (IoT), a Human‐Cyber‐Physical System (H‐CPS) architecture tailored for agricultural applications is proposed. It supports real‐time crop management, data‐driven decision‐making, and transparent trading of agricultural products. A semantic‐based blockchain framework is introduced to address challenges in data management and AI model integration, optimizing production, improving traceability, reducing costs, and enhancing financial security. This framework directly addresses real‐world agricultural challenges, such as optimized irrigation, improved crop breeding efficiency, and enhanced supply chain transparency. These innovations provide practical solutions for modern agriculture, contributing to sustainable development and global food security. Further research and collaboration are encouraged to unlock its full potential in transforming agricultural practices.</x:v>
      </x:c>
      <x:c r="J119" s="88" t="str">
        <x:v>Blockchain Technology Applications and Security; Smart Agriculture and AI; IoT and Edge/Fog Computing; Medicine</x:v>
      </x:c>
      <x:c r="K119" s="88" t="str">
        <x:v>https://doi.org/10.1002/advs.202503102 ; https://openalex.org/W4409794853 ; https://www.semanticscholar.org/paper/f23b101ef3704fa66d468d5d9b84db535d16f66c</x:v>
      </x:c>
    </x:row>
    <x:row r="120" ht="62" customHeight="1">
      <x:c r="A120" s="86" t="n">
        <x:v>119</x:v>
      </x:c>
      <x:c r="B120" s="88" t="str">
        <x:v>Evaluating Critical Security Issues of the IoT World: Present and Future Challenges</x:v>
      </x:c>
      <x:c r="C120" s="88" t="str">
        <x:v>10.1109/jiot.2017.2767291</x:v>
      </x:c>
      <x:c r="D120" s="88" t="n">
        <x:v>2018</x:v>
      </x:c>
      <x:c r="E120" s="88" t="str">
        <x:v>IEEE Internet of Things Journal</x:v>
      </x:c>
      <x:c r="F120" s="88" t="str">
        <x:v>High</x:v>
      </x:c>
      <x:c r="G120" s="88" t="str">
        <x:v>Available</x:v>
      </x:c>
      <x:c r="H120" s="88" t="str">
        <x:v>OpenAlex</x:v>
      </x:c>
      <x:c r="I120" s="88" t="str">
        <x:v>Social Internet of Things (SIoT) is a new paradigm where Internet of Things (IoT) merges with social networks, allowing people and devices to interact, and facilitating information sharing. However, security and privacy issues are a great challenge for IoT but they are also enabling factors to create a “trust ecosystem.” In fact, the intrinsic vulnerabilities of IoT devices, with limited resources and heterogeneous technologies, together with the lack of specifically designed IoT standards, represent a fertile ground for the expansion of specific cyber threats. In this paper, we try to bring order on the IoT security panorama providing a taxonomic analysis from the perspective of the three main key layers of the IoT system model: 1) perception; 2) transportation; and 3) application levels. As a result of the analysis, we will highlight the most critical issues with the aim of guiding future research directions.</x:v>
      </x:c>
      <x:c r="J120" s="88" t="str">
        <x:v>IoT and Edge/Fog Computing; Advanced Malware Detection Techniques; Blockchain Technology Applications and Security; Computer Science</x:v>
      </x:c>
      <x:c r="K120" s="88" t="str">
        <x:v>https://doi.org/10.1109/jiot.2017.2767291 ; https://openalex.org/W2765739766 ; https://www.semanticscholar.org/paper/6d464bd9075daaa88e8aba1fca56e7ce74dd43c3</x:v>
      </x:c>
    </x:row>
    <x:row r="121" ht="62" customHeight="1">
      <x:c r="A121" s="86" t="n">
        <x:v>120</x:v>
      </x:c>
      <x:c r="B121" s="88" t="str">
        <x:v>A review of wireless sensors and networks' applications in agriculture</x:v>
      </x:c>
      <x:c r="C121" s="88" t="str">
        <x:v>10.1016/j.csi.2011.03.004</x:v>
      </x:c>
      <x:c r="D121" s="88" t="n">
        <x:v>2014</x:v>
      </x:c>
      <x:c r="E121" s="88" t="str">
        <x:v>Computer Standards &amp;amp; Interfaces</x:v>
      </x:c>
      <x:c r="F121" s="88" t="str">
        <x:v>High</x:v>
      </x:c>
      <x:c r="G121" s="88" t="str">
        <x:v>Not found in Crossref/OpenAlex/Semantic Scholar</x:v>
      </x:c>
      <x:c r="H121" s="88" t="str"/>
      <x:c r="I121" s="88" t="str"/>
      <x:c r="J121" s="88" t="str">
        <x:v>Energy Efficient Wireless Sensor Networks; IoT-based Smart Home Systems; Water Quality Monitoring Technologies; Computer Science</x:v>
      </x:c>
      <x:c r="K121" s="88" t="str">
        <x:v>https://doi.org/10.1016/j.csi.2011.03.004 ; https://openalex.org/W2021973007 ; https://www.semanticscholar.org/paper/16e6b778046c509e19632fbdabc3588a8246f24e</x:v>
      </x:c>
    </x:row>
    <x:row r="122" ht="62" customHeight="1">
      <x:c r="A122" s="86" t="n">
        <x:v>121</x:v>
      </x:c>
      <x:c r="B122" s="88" t="str">
        <x:v>A Digital Signature Based on a Conventional Encryption Function</x:v>
      </x:c>
      <x:c r="C122" s="88" t="str">
        <x:v>10.1007/3-540-48184-2_32</x:v>
      </x:c>
      <x:c r="D122" s="88" t="n">
        <x:v>1988</x:v>
      </x:c>
      <x:c r="E122" s="88" t="str">
        <x:v>Lecture Notes in Computer Science</x:v>
      </x:c>
      <x:c r="F122" s="88" t="str">
        <x:v>High</x:v>
      </x:c>
      <x:c r="G122" s="88" t="str">
        <x:v>Not available; source may not be a journal paper</x:v>
      </x:c>
      <x:c r="H122" s="88" t="str"/>
      <x:c r="I122" s="88" t="str"/>
      <x:c r="J122" s="88" t="str">
        <x:v>Chaos-based Image/Signal Encryption; Cryptography and Data Security; Cryptographic Implementations and Security; Mathematics; Computer Science</x:v>
      </x:c>
      <x:c r="K122" s="88" t="str">
        <x:v>https://doi.org/10.1007/3-540-48184-2_32 ; https://openalex.org/W1600255172 ; https://www.semanticscholar.org/paper/5bcd990b11e068234c3a13b021f3266bb45a2964</x:v>
      </x:c>
    </x:row>
    <x:row r="123" ht="62" customHeight="1">
      <x:c r="A123" s="86" t="n">
        <x:v>122</x:v>
      </x:c>
      <x:c r="B123" s="88" t="str">
        <x:v>Hyperledger fabric</x:v>
      </x:c>
      <x:c r="C123" s="88" t="str">
        <x:v>10.1145/3190508.3190538</x:v>
      </x:c>
      <x:c r="D123" s="88" t="n">
        <x:v>2018</x:v>
      </x:c>
      <x:c r="E123" s="88" t="str">
        <x:v>Proceedings of the Thirteenth EuroSys Conference</x:v>
      </x:c>
      <x:c r="F123" s="88" t="str">
        <x:v>High</x:v>
      </x:c>
      <x:c r="G123" s="88" t="str">
        <x:v>Available</x:v>
      </x:c>
      <x:c r="H123" s="88" t="str">
        <x:v>OpenAlex</x:v>
      </x:c>
      <x:c r="I123" s="88" t="str">
        <x:v>Fabric is a modular and extensible open-source system for deploying and operating permissioned blockchains and one of the Hyperledger projects hosted by the Linux Foundation (www.hyperledger.org).</x:v>
      </x:c>
      <x:c r="J123" s="88" t="str">
        <x:v>Blockchain Technology Applications and Security; Distributed systems and fault tolerance; Security and Verification in Computing; Computer Science</x:v>
      </x:c>
      <x:c r="K123" s="88" t="str">
        <x:v>https://doi.org/10.1145/3190508.3190538 ; https://openalex.org/W4300127641 ; https://www.semanticscholar.org/paper/1b4c39ba447e8098291e47fd5da32ca650f41181</x:v>
      </x:c>
    </x:row>
    <x:row r="124" ht="62" customHeight="1">
      <x:c r="A124" s="86" t="n">
        <x:v>123</x:v>
      </x:c>
      <x:c r="B124" s="88" t="str">
        <x:v>Internet of Things in agriculture, recent advances and future challenges</x:v>
      </x:c>
      <x:c r="C124" s="88" t="str">
        <x:v>10.1016/j.biosystemseng.2017.09.007</x:v>
      </x:c>
      <x:c r="D124" s="88" t="n">
        <x:v>2017</x:v>
      </x:c>
      <x:c r="E124" s="88" t="str">
        <x:v>Biosystems Engineering</x:v>
      </x:c>
      <x:c r="F124" s="88" t="str">
        <x:v>High</x:v>
      </x:c>
      <x:c r="G124" s="88" t="str">
        <x:v>Not found in Crossref/OpenAlex/Semantic Scholar</x:v>
      </x:c>
      <x:c r="H124" s="88" t="str"/>
      <x:c r="I124" s="88" t="str"/>
      <x:c r="J124" s="88" t="str">
        <x:v>IoT and Edge/Fog Computing; Smart Agriculture and AI; Water Quality Monitoring Technologies; Engineering</x:v>
      </x:c>
      <x:c r="K124" s="88" t="str">
        <x:v>https://doi.org/10.1016/j.biosystemseng.2017.09.007 ; https://openalex.org/W2771058985 ; https://www.semanticscholar.org/paper/c7d243d0d1efee259ce533fd394d3d53e27e8c8a</x:v>
      </x:c>
    </x:row>
    <x:row r="125" ht="62" customHeight="1">
      <x:c r="A125" s="86" t="n">
        <x:v>124</x:v>
      </x:c>
      <x:c r="B125" s="88" t="str">
        <x:v>Distributed Control Architecture for Blockchain-Based IoT Water Quality Monitoring</x:v>
      </x:c>
      <x:c r="C125" s="88" t="str">
        <x:v>10.1109/access.2022.3208440</x:v>
      </x:c>
      <x:c r="D125" s="88" t="n">
        <x:v>2022</x:v>
      </x:c>
      <x:c r="E125" s="88" t="str">
        <x:v>IEEE Access</x:v>
      </x:c>
      <x:c r="F125" s="88" t="str">
        <x:v>Unverified</x:v>
      </x:c>
      <x:c r="G125" s="88" t="str">
        <x:v>Not found in Crossref/OpenAlex/Semantic Scholar</x:v>
      </x:c>
      <x:c r="H125" s="88" t="str"/>
      <x:c r="I125" s="88" t="str"/>
      <x:c r="J125" s="88" t="str"/>
      <x:c r="K125" s="88" t="str"/>
    </x:row>
    <x:row r="126" ht="62" customHeight="1">
      <x:c r="A126" s="86" t="n">
        <x:v>125</x:v>
      </x:c>
      <x:c r="B126" s="88" t="str">
        <x:v>Integration of Cloud computing and Internet of Things: A survey</x:v>
      </x:c>
      <x:c r="C126" s="88" t="str">
        <x:v>10.1016/j.future.2015.09.021</x:v>
      </x:c>
      <x:c r="D126" s="88" t="n">
        <x:v>2016</x:v>
      </x:c>
      <x:c r="E126" s="88" t="str">
        <x:v>Future Generation Computer Systems</x:v>
      </x:c>
      <x:c r="F126" s="88" t="str">
        <x:v>High</x:v>
      </x:c>
      <x:c r="G126" s="88" t="str">
        <x:v>Not found in Crossref/OpenAlex/Semantic Scholar</x:v>
      </x:c>
      <x:c r="H126" s="88" t="str"/>
      <x:c r="I126" s="88" t="str"/>
      <x:c r="J126" s="88" t="str">
        <x:v>IoT and Edge/Fog Computing; Cloud Computing and Resource Management; Blockchain Technology Applications and Security; Computer Science</x:v>
      </x:c>
      <x:c r="K126" s="88" t="str">
        <x:v>https://doi.org/10.1016/j.future.2015.09.021 ; https://openalex.org/W1837982953 ; https://www.semanticscholar.org/paper/be78a87bbfc30a540b477087089d106ce2b394f1</x:v>
      </x:c>
    </x:row>
    <x:row r="127" ht="62" customHeight="1">
      <x:c r="A127" s="86" t="n">
        <x:v>126</x:v>
      </x:c>
      <x:c r="B127" s="88" t="str">
        <x:v>Advanced process control of irrigation: the current state and an analysis to aid future development</x:v>
      </x:c>
      <x:c r="C127" s="88" t="str">
        <x:v>10.1007/s00271-011-0313-1</x:v>
      </x:c>
      <x:c r="D127" s="88" t="n">
        <x:v>2011</x:v>
      </x:c>
      <x:c r="E127" s="88" t="str">
        <x:v>Irrigation Science</x:v>
      </x:c>
      <x:c r="F127" s="88" t="str">
        <x:v>High</x:v>
      </x:c>
      <x:c r="G127" s="88" t="str">
        <x:v>Not found in Crossref/OpenAlex/Semantic Scholar</x:v>
      </x:c>
      <x:c r="H127" s="88" t="str"/>
      <x:c r="I127" s="88" t="str"/>
      <x:c r="J127" s="88" t="str">
        <x:v>Irrigation Practices and Water Management; Soil Moisture and Remote Sensing; Soil and Unsaturated Flow</x:v>
      </x:c>
      <x:c r="K127" s="88" t="str">
        <x:v>https://doi.org/10.1007/s00271-011-0313-1 ; https://openalex.org/W2090503001 ; https://www.semanticscholar.org/paper/ebd18976ec8d730b2d8591bc8c935db1cbd08741</x:v>
      </x:c>
    </x:row>
    <x:row r="128" ht="62" customHeight="1">
      <x:c r="A128" s="86" t="n">
        <x:v>127</x:v>
      </x:c>
      <x:c r="B128" s="88" t="str">
        <x:v>Blockchain for agriculture and food : Findings from the pilot study</x:v>
      </x:c>
      <x:c r="C128" s="88" t="str">
        <x:v>10.18174/426747</x:v>
      </x:c>
      <x:c r="D128" s="88" t="n">
        <x:v>2017</x:v>
      </x:c>
      <x:c r="E128" s="88" t="str">
        <x:v>Wageningen Economic Research Report</x:v>
      </x:c>
      <x:c r="F128" s="88" t="str">
        <x:v>High</x:v>
      </x:c>
      <x:c r="G128" s="88" t="str">
        <x:v>Available</x:v>
      </x:c>
      <x:c r="H128" s="88" t="str">
        <x:v>OpenAlex</x:v>
      </x:c>
      <x:c r="I128" s="88" t="str">
        <x:v>This report documents experiences and findings from the public private partnership (PPP) project 'Blockchain for Agrifood' that was started in March 2017. The project aims to contribute to a better understanding of the blockchain technology (BCT) and its implications for agrifood, especially how it can impact specific aspects of supply chains and what is needed to apply BCT in agrifood chains. A second aim of this project is to conceptualise and develop a proof of concept in an application based on a use case concerning table grapes from South Africa where BCT could be applied. This has been done by building a demonstrator that keeps track of different certificates involved in the table grapes supply chain. The code of this demonstrator is published at Github. 1 Furthermore, the project explored issues regarding the relevance, applicability and implications of BCT for the agrifood sector through literature study and stakeholder consultation.</x:v>
      </x:c>
      <x:c r="J128" s="88" t="str">
        <x:v>Blockchain Technology Applications and Security; Digital Platforms and Economics; Business</x:v>
      </x:c>
      <x:c r="K128" s="88" t="str">
        <x:v>https://doi.org/10.18174/426747 ; https://openalex.org/W2776587387 ; https://www.semanticscholar.org/paper/e8eeebd53272ae5c7d6534cd7199c7308da5128d</x:v>
      </x:c>
    </x:row>
    <x:row r="129" ht="62" customHeight="1">
      <x:c r="A129" s="86" t="n">
        <x:v>128</x:v>
      </x:c>
      <x:c r="B129" s="88" t="str">
        <x:v>Effects of grapevine (Vitis vinifera L.) water status on water consumption, vegetative growth and grape quality: An irrigation scheduling application to achieve regulated deficit irrigation</x:v>
      </x:c>
      <x:c r="C129" s="88" t="str">
        <x:v>10.1016/j.agwat.2010.01.025</x:v>
      </x:c>
      <x:c r="D129" s="88" t="n">
        <x:v>2010</x:v>
      </x:c>
      <x:c r="E129" s="88" t="str">
        <x:v>Agricultural Water Management</x:v>
      </x:c>
      <x:c r="F129" s="88" t="str">
        <x:v>High</x:v>
      </x:c>
      <x:c r="G129" s="88" t="str">
        <x:v>Not found in Crossref/OpenAlex/Semantic Scholar</x:v>
      </x:c>
      <x:c r="H129" s="88" t="str"/>
      <x:c r="I129" s="88" t="str"/>
      <x:c r="J129" s="88" t="str">
        <x:v>Horticultural and Viticultural Research; Plant Water Relations and Carbon Dynamics; Fermentation and Sensory Analysis; Environmental Science</x:v>
      </x:c>
      <x:c r="K129" s="88" t="str">
        <x:v>https://doi.org/10.1016/j.agwat.2010.01.025 ; https://openalex.org/W1998471192 ; https://www.semanticscholar.org/paper/e7918bcedfbe135624602756e96d5b755ae9fc0e</x:v>
      </x:c>
    </x:row>
    <x:row r="130" ht="62" customHeight="1">
      <x:c r="A130" s="86" t="n">
        <x:v>129</x:v>
      </x:c>
      <x:c r="B130" s="88" t="str">
        <x:v>A systematic literature review of blockchain-based applications: Current status, classification and open issues</x:v>
      </x:c>
      <x:c r="C130" s="88" t="str">
        <x:v>10.1016/j.tele.2018.11.006</x:v>
      </x:c>
      <x:c r="D130" s="88" t="n">
        <x:v>2019</x:v>
      </x:c>
      <x:c r="E130" s="88" t="str">
        <x:v>Telematics and Informatics</x:v>
      </x:c>
      <x:c r="F130" s="88" t="str">
        <x:v>High</x:v>
      </x:c>
      <x:c r="G130" s="88" t="str">
        <x:v>Available</x:v>
      </x:c>
      <x:c r="H130" s="88" t="str">
        <x:v>OpenAlex</x:v>
      </x:c>
      <x:c r="I130" s="88" t="str">
        <x:v>This work provides a systematic literature review of blockchain-based applications across multiple domains. The aim is to investigate the current state of blockchain technology and its applications and to highlight how specific characteristics of this disruptive technology can revolutionise “business-as-usual” practices. To this end, the theoretical underpinnings of numerous research papers published in high ranked scientific journals during the last decade, along with several reports from grey literature as a means of streamlining our assessment and capturing the continuously expanding blockchain domain, are included in this review. Based on a structured, systematic review and thematic content analysis of the discovered literature, we present a comprehensive classification of blockchain-enabled applications across diverse sectors such as supply chain, business, healthcare, IoT, privacy, and data management, and we establish key themes, trends and emerging areas for research. We also point to the shortcomings identified in the relevant literature, particularly limitations the blockchain technology presents and how these limitations spawn across different sectors and industries. Building on these findings, we identify various research gaps and future exploratory directions that are anticipated to be of significant value both for academics and practitioners.</x:v>
      </x:c>
      <x:c r="J130" s="88" t="str">
        <x:v>Blockchain Technology Applications and Security; Computer Science</x:v>
      </x:c>
      <x:c r="K130" s="88" t="str">
        <x:v>https://doi.org/10.1016/j.tele.2018.11.006 ; https://openalex.org/W2901598045 ; https://www.semanticscholar.org/paper/0dded8c6118f4acce0aa7262853af1d49109a776</x:v>
      </x:c>
    </x:row>
    <x:row r="131" ht="62" customHeight="1">
      <x:c r="A131" s="86" t="n">
        <x:v>130</x:v>
      </x:c>
      <x:c r="B131" s="88" t="str">
        <x:v>Evaluation of Standard Calibration Functions for Eight Electromagnetic Soil Moisture Sensors</x:v>
      </x:c>
      <x:c r="C131" s="88" t="str">
        <x:v>10.2136/vzj2012.0160</x:v>
      </x:c>
      <x:c r="D131" s="88" t="n">
        <x:v>2013</x:v>
      </x:c>
      <x:c r="E131" s="88" t="str">
        <x:v>Vadose Zone Journal</x:v>
      </x:c>
      <x:c r="F131" s="88" t="str">
        <x:v>High</x:v>
      </x:c>
      <x:c r="G131" s="88" t="str">
        <x:v>Available</x:v>
      </x:c>
      <x:c r="H131" s="88" t="str">
        <x:v>Crossref</x:v>
      </x:c>
      <x:c r="I131" s="88" t="str">
        <x:v>An increasing number of electromagnetic (EM) sensors are deployed to measure volumetric soil water content (θ) for agricultural, ecological, and geotechnical applications. While impedance and capacitance sensors generally operate at frequencies between 20–300 MHz, time domain‐reflectometry (TDR) and‐transmissometry (TDT) function in the GHz range. In general, lower frequency sensors are less expensive but more sensitive to confounding effects of salinity, temperature, and soil textural variations. To simplify sensor application, factory‐supplied calibrations are often provided for different porous media types such as mineral, organic, and saline soils, or soilless‐substrates. The objective of the presented study was to evaluate the performance of eight commercially available EM moisture sensing systems (TDR 100, CS616, Theta Probe, Hydra Probe, SM300, Wet2, 5TE, 10HS) in seven well‐characterized and texturally varying soils using a standardized approach. The validity of factory supplied‐calibration relationships was evaluated and the influence of soil properties on the EM responses for θ measurements was observed. Results indicate that the factory‐supplied calibration relationships for groups of mineral and organic soils in general performed well, but some inconsistences were identified and suggestions for improvement are discussed. Soil‐specific calibrations from this study yielded accuracies of around 0.015 m 3 m −3 for 10HS, SM300, and Theta Probe, while lower accuracies of about 0.025 m 3 m −3 were found for TDR100, CS616, Wet2, 5TE, and the Hydra Probe. These results are based on mineral soils having a large variation in texture, electrical conductivities below 2 dS m −1 , organic matter below 10%, and specific surface areas of less than 50 m 2 g −1 .</x:v>
      </x:c>
      <x:c r="J131" s="88" t="str">
        <x:v>Soil Moisture and Remote Sensing; Soil and Unsaturated Flow; Geophysical Methods and Applications; Environmental Science</x:v>
      </x:c>
      <x:c r="K131" s="88" t="str">
        <x:v>https://doi.org/10.2136/vzj2012.0160 ; https://openalex.org/W2024883355 ; https://www.semanticscholar.org/paper/f018536b371473ab97ceb29be5b085c75e6b804a</x:v>
      </x:c>
    </x:row>
    <x:row r="132" ht="62" customHeight="1">
      <x:c r="A132" s="86" t="n">
        <x:v>131</x:v>
      </x:c>
      <x:c r="B132" s="88" t="str">
        <x:v>Optimal model-based deficit irrigation scheduling using AquaCrop: A simulation study with cotton, potato and tomato</x:v>
      </x:c>
      <x:c r="C132" s="88" t="str">
        <x:v>10.1016/j.agwat.2015.09.011</x:v>
      </x:c>
      <x:c r="D132" s="88" t="n">
        <x:v>2016</x:v>
      </x:c>
      <x:c r="E132" s="88" t="str">
        <x:v>Agricultural Water Management</x:v>
      </x:c>
      <x:c r="F132" s="88" t="str">
        <x:v>High</x:v>
      </x:c>
      <x:c r="G132" s="88" t="str">
        <x:v>Not found in Crossref/OpenAlex/Semantic Scholar</x:v>
      </x:c>
      <x:c r="H132" s="88" t="str"/>
      <x:c r="I132" s="88" t="str"/>
      <x:c r="J132" s="88" t="str">
        <x:v>Irrigation Practices and Water Management; Water resources management and optimization; Greenhouse Technology and Climate Control; Economics</x:v>
      </x:c>
      <x:c r="K132" s="88" t="str">
        <x:v>https://doi.org/10.1016/j.agwat.2015.09.011 ; https://openalex.org/W1833666208 ; https://www.semanticscholar.org/paper/c3b0507bf6378898ee35b5cc0e059ac20af64f12</x:v>
      </x:c>
    </x:row>
    <x:row r="133" ht="62" customHeight="1">
      <x:c r="A133" s="86" t="n">
        <x:v>132</x:v>
      </x:c>
      <x:c r="B133" s="88" t="str">
        <x:v>FastFabric: Scaling hyperledger fabric to 20 000 transactions per second</x:v>
      </x:c>
      <x:c r="C133" s="88" t="str">
        <x:v>10.1002/nem.2099</x:v>
      </x:c>
      <x:c r="D133" s="88" t="n">
        <x:v>2020</x:v>
      </x:c>
      <x:c r="E133" s="88" t="str">
        <x:v>International Journal of Network Management</x:v>
      </x:c>
      <x:c r="F133" s="88" t="str">
        <x:v>High</x:v>
      </x:c>
      <x:c r="G133" s="88" t="str">
        <x:v>Available</x:v>
      </x:c>
      <x:c r="H133" s="88" t="str">
        <x:v>Crossref</x:v>
      </x:c>
      <x:c r="I133" s="88" t="str">
        <x:v>Summary Blockchain technologies are expected to make a significant impact on a variety of industries. However, one issue holding them back is their limited transaction throughput, especially compared to established solutions such as distributed database systems. In this paper, we rearchitect a modern permissioned blockchain system, Hyperledger Fabric, to increase transaction throughput from 3000 to 20 000 transactions per second. We focus on performance bottlenecks beyond the consensus mechanism, and we propose architectural changes that reduce computation and I/O overhead during transaction ordering and validation to greatly improve throughput. Notably, our optimizations are fully plug‐and‐play and do not require any interface changes to Hyperledger Fabric.</x:v>
      </x:c>
      <x:c r="J133" s="88" t="str">
        <x:v>Blockchain Technology Applications and Security; Cryptography and Data Security; Distributed systems and fault tolerance; Computer Science</x:v>
      </x:c>
      <x:c r="K133" s="88" t="str">
        <x:v>https://doi.org/10.1002/nem.2099 ; https://openalex.org/W3005719348 ; https://www.semanticscholar.org/paper/1e36ea0e19c236b67f680e3af66dcbc7bdf07dbe</x:v>
      </x:c>
    </x:row>
    <x:row r="134" ht="62" customHeight="1">
      <x:c r="A134" s="86" t="n">
        <x:v>133</x:v>
      </x:c>
      <x:c r="B134" s="88" t="str">
        <x:v>Design and Implementation of an Integrated IoT Blockchain Platform for Sensing Data Integrity</x:v>
      </x:c>
      <x:c r="C134" s="88" t="str">
        <x:v>10.3390/s19102228</x:v>
      </x:c>
      <x:c r="D134" s="88" t="n">
        <x:v>2019</x:v>
      </x:c>
      <x:c r="E134" s="88" t="str">
        <x:v>Sensors</x:v>
      </x:c>
      <x:c r="F134" s="88" t="str">
        <x:v>High</x:v>
      </x:c>
      <x:c r="G134" s="88" t="str">
        <x:v>Available</x:v>
      </x:c>
      <x:c r="H134" s="88" t="str">
        <x:v>Crossref</x:v>
      </x:c>
      <x:c r="I134" s="88" t="str">
        <x:v>With the rapid development of communication technologies, the Internet of Things (IoT) is getting out of its infancy, into full maturity, and tends to be developed in an explosively rapid way, with more and more data transmitted and processed. As a result, the ability to manage devices deployed worldwide has been given more and advanced requirements in practical application performances. Most existing IoT platforms are highly centralized architectures, which suffer from various technical limitations, such as a cyber-attack and single point of failure. A new solution direction is essential to enhance data accessing, while regulating it with government mandates in privacy and security. In this paper, we propose an integrated IoT platform using blockchain technology to guarantee sensing data integrity. The aim of this platform is to afford the device owner a practical application that provides a comprehensive, immutable log and allows easy access to their devices deployed in different domains. It also provides characteristics of general IoT systems, allows for real-time monitoring, and control between the end user and device. The business logic of the application is defined by the smart contract, which contains rules and conditions. The proposed approach is backed by a proof of concept implementation in realistic IoT scenarios, utilizing Raspberry Pi devices and a permissioned network called Hyperledger Fabric. Lastly, a benchmark study using various performance metrics is made to highlight the significance of the proposed work. The analysis results indicate that the designed platform is suitable for the resource-constrained IoT architecture and is scalable to be extended in various IoT scenarios.</x:v>
      </x:c>
      <x:c r="J134" s="88" t="str">
        <x:v>Blockchain Technology Applications and Security; IoT and Edge/Fog Computing; Privacy, Security, and Data Protection; Computer Science; Medicine</x:v>
      </x:c>
      <x:c r="K134" s="88" t="str">
        <x:v>https://doi.org/10.3390/s19102228 ; https://openalex.org/W2946297772 ; https://www.semanticscholar.org/paper/c6c99db2c12f583f21890a5d8adb74b32170f17c</x:v>
      </x:c>
    </x:row>
    <x:row r="135" ht="62" customHeight="1">
      <x:c r="A135" s="86" t="n">
        <x:v>134</x:v>
      </x:c>
      <x:c r="B135" s="88" t="str">
        <x:v>An agri-food supply chain traceability system for China based on RFID &amp;amp; blockchain technology</x:v>
      </x:c>
      <x:c r="C135" s="88" t="str">
        <x:v>10.1109/icsssm.2016.7538424</x:v>
      </x:c>
      <x:c r="D135" s="88" t="n">
        <x:v>2016</x:v>
      </x:c>
      <x:c r="E135" s="88" t="str">
        <x:v>2016 13th International Conference on Service Systems and Service Management (ICSSSM)</x:v>
      </x:c>
      <x:c r="F135" s="88" t="str">
        <x:v>High</x:v>
      </x:c>
      <x:c r="G135" s="88" t="str">
        <x:v>Available</x:v>
      </x:c>
      <x:c r="H135" s="88" t="str">
        <x:v>OpenAlex</x:v>
      </x:c>
      <x:c r="I135" s="88" t="str">
        <x:v>For the past few years, food safety has become an outstanding problem in China. Since traditional agri-food logistics pattern can not match the demands of the market anymore, building an agri-food supply chain traceability system is becoming more and more urgent. In this paper, we study the utilization and development situation of RFID (Radio-Frequency IDentification) and blockchain technology first, and then we analyze the advantages and disadvantages of using RFID and blockchain technology in building the agri-food supply chain traceability system; finally, we demonstrate the building process of this system. It can realize the traceability with trusted information in the entire agri-food supply chain, which would effectively guarantee the food safety, by gathering, transferring and sharing the authentic data of agri-food in production, processing, warehousing, distribution and selling links.</x:v>
      </x:c>
      <x:c r="J135" s="88" t="str">
        <x:v>Blockchain Technology Applications and Security; Food Supply Chain Traceability; Food Waste Reduction and Sustainability; Computer Science</x:v>
      </x:c>
      <x:c r="K135" s="88" t="str">
        <x:v>https://doi.org/10.1109/icsssm.2016.7538424 ; https://openalex.org/W2511580607 ; https://www.semanticscholar.org/paper/24cdeb7d7421012c2fdd362b8e2816c105b7071f</x:v>
      </x:c>
    </x:row>
    <x:row r="136" ht="62" customHeight="1">
      <x:c r="A136" s="86" t="n">
        <x:v>135</x:v>
      </x:c>
      <x:c r="B136" s="88" t="str">
        <x:v>Agri-food 4.0: A survey of the supply chains and technologies for the future agriculture</x:v>
      </x:c>
      <x:c r="C136" s="88" t="str">
        <x:v>10.1016/j.compind.2020.103187</x:v>
      </x:c>
      <x:c r="D136" s="88" t="n">
        <x:v>2020</x:v>
      </x:c>
      <x:c r="E136" s="88" t="str">
        <x:v>Computers in Industry</x:v>
      </x:c>
      <x:c r="F136" s="88" t="str">
        <x:v>High</x:v>
      </x:c>
      <x:c r="G136" s="88" t="str">
        <x:v>Available</x:v>
      </x:c>
      <x:c r="H136" s="88" t="str">
        <x:v>Semantic Scholar</x:v>
      </x:c>
      <x:c r="I136" s="88" t="str">
        <x:v>Abstract 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x:v>
      </x:c>
      <x:c r="J136" s="88" t="str">
        <x:v>Food Supply Chain Traceability; Smart Agriculture and AI; Food Waste Reduction and Sustainability; Computer Science; Business</x:v>
      </x:c>
      <x:c r="K136" s="88" t="str">
        <x:v>https://doi.org/10.1016/j.compind.2020.103187 ; https://openalex.org/W2995946162 ; https://www.semanticscholar.org/paper/dd5e5f2e4dfa71f5d0499d841a8505a322249be1</x:v>
      </x:c>
    </x:row>
    <x:row r="137" ht="62" customHeight="1">
      <x:c r="A137" s="86" t="n">
        <x:v>136</x:v>
      </x:c>
      <x:c r="B137" s="88" t="str">
        <x:v>Constraints and potentials of future irrigation water availability on agricultural production under climate change</x:v>
      </x:c>
      <x:c r="C137" s="88" t="str">
        <x:v>10.1073/pnas.1222474110</x:v>
      </x:c>
      <x:c r="D137" s="88" t="n">
        <x:v>2013</x:v>
      </x:c>
      <x:c r="E137" s="88" t="str">
        <x:v>Proceedings of the National Academy of Sciences</x:v>
      </x:c>
      <x:c r="F137" s="88" t="str">
        <x:v>High</x:v>
      </x:c>
      <x:c r="G137" s="88" t="str">
        <x:v>Available</x:v>
      </x:c>
      <x:c r="H137" s="88" t="str">
        <x:v>Crossref</x:v>
      </x:c>
      <x:c r="I137" s="88" t="str">
        <x:v>Significance Freshwater availability is relevant to almost all socioeconomic and environmental impacts of climate and demographic change and their implications for sustainability. We compare ensembles of water supply and demand projections driven by ensemble output from five global climate models. Our results suggest reasons for concern. Direct climate impacts to maize, soybean, wheat, and rice involve losses of 400–2,600 Pcal (8–43% of present-day total). Freshwater limitations in some heavily irrigated regions could necessitate reversion of 20–60 Mha of cropland from irrigated to rainfed management, and a further loss of 600–2,900 Pcal. Freshwater abundance in other regions could help ameliorate these losses, but substantial investment in infrastructure would be required.</x:v>
      </x:c>
      <x:c r="J137" s="88" t="str">
        <x:v>Climate change impacts on agriculture; Climate variability and models; Water resources management and optimization; Environmental Science; Medicine</x:v>
      </x:c>
      <x:c r="K137" s="88" t="str">
        <x:v>https://doi.org/10.1073/pnas.1222474110 ; https://openalex.org/W2115385872 ; https://www.semanticscholar.org/paper/145d43aa3d7b69a4f16626efdfa4ae1264abe441</x:v>
      </x:c>
    </x:row>
    <x:row r="138" ht="62" customHeight="1">
      <x:c r="A138" s="86" t="n">
        <x:v>137</x:v>
      </x:c>
      <x:c r="B138" s="88" t="str">
        <x:v>A supply chain traceability system for food safety based on HACCP, blockchain &amp;amp; Internet of things</x:v>
      </x:c>
      <x:c r="C138" s="88" t="str">
        <x:v>10.1109/icsssm.2017.7996119</x:v>
      </x:c>
      <x:c r="D138" s="88" t="n">
        <x:v>2017</x:v>
      </x:c>
      <x:c r="E138" s="88" t="str">
        <x:v>2017 International Conference on Service Systems and Service Management</x:v>
      </x:c>
      <x:c r="F138" s="88" t="str">
        <x:v>High</x:v>
      </x:c>
      <x:c r="G138" s="88" t="str">
        <x:v>Available</x:v>
      </x:c>
      <x:c r="H138" s="88" t="str">
        <x:v>OpenAlex</x:v>
      </x:c>
      <x:c r="I138" s="88" t="str">
        <x:v>In recent times food safety has drawn upsurge of academic and commercial concerns. In supply chain area, with the rapid growth of internet technologies, a lot of emerging technologies have been applied in traceability systems. However, to date, nearly all of these systems are centralized which are monopolistic, asymmetric and opaque that could result in the trust problem, such as fraud, corruption, tampering and falsifying information. Besides, centralized system is vulnerable to collapse, since a single point of breakdown will lead the whole system to be crashed. Today, a new technology called the blockchain which is a ground-breaking innovation in decentralized information technology presents a whole new approach. However, since this technology is still in its early stages, it has some inherent defects, in which scalability become a primary and urgent one when we face the mass data in the real world. In this paper we will build a food supply chain traceability system for real-time food tracing based on HACCP (Hazard Analysis and Critical Control Points), blockchain and Internet of things, which could provide an information platform for all the supply chain members with openness, transparency, neutrality, reliability and security. Furthermore, we introduce a new concept BigchainDB to fill the gap in the decentralized systems at scale. The paper concludes with a description of a use case and the challenges to adopt blockchain technology in the future food supply chain traceability systems are discussed.</x:v>
      </x:c>
      <x:c r="J138" s="88" t="str">
        <x:v>Food Supply Chain Traceability; Food Waste Reduction and Sustainability; Food Safety and Hygiene; Computer Science</x:v>
      </x:c>
      <x:c r="K138" s="88" t="str">
        <x:v>https://doi.org/10.1109/icsssm.2017.7996119 ; https://openalex.org/W2740090788 ; https://www.semanticscholar.org/paper/304083f2a7b00d07d7c33883e2e74ac0fd8245c5</x:v>
      </x:c>
    </x:row>
    <x:row r="139" ht="62" customHeight="1">
      <x:c r="A139" s="86" t="n">
        <x:v>138</x:v>
      </x:c>
      <x:c r="B139" s="88" t="str">
        <x:v>Decentralized document version control using ethereum blockchain and IPFS</x:v>
      </x:c>
      <x:c r="C139" s="88" t="str">
        <x:v>10.1016/j.compeleceng.2019.03.014</x:v>
      </x:c>
      <x:c r="D139" s="88" t="n">
        <x:v>2019</x:v>
      </x:c>
      <x:c r="E139" s="88" t="str">
        <x:v>Computers &amp;amp; Electrical Engineering</x:v>
      </x:c>
      <x:c r="F139" s="88" t="str">
        <x:v>High</x:v>
      </x:c>
      <x:c r="G139" s="88" t="str">
        <x:v>Available</x:v>
      </x:c>
      <x:c r="H139" s="88" t="str">
        <x:v>Semantic Scholar</x:v>
      </x:c>
      <x:c r="I139" s="88" t="str">
        <x:v>Abstract In this paper, we propose a blockchain-based solution and framework for document sharing and version control to facilitate multi-user collaboration and track changes in a trusted, secure, and decentralized manner, with no involvement of a centralized trusted entity or third party. This solution is based on utilizing Ethereum smart contracts to govern and regulate the document version control functions among the creators and developers of the document and its validators. Moreover, our solution leverages the benefits of IPFS (InterPlanetary File System) to store documents on a decentralized file system. The proposed solution automates necessary interactions among multiple actors comprising developers and approvers. Smart contracts have been developed using Solidity language, and their functionalities were tested using the Remix IDE (Integrated Development Environment). The paper demonstrates that our smart contract code is free of commonly known security vulnerabilities and attacks. The code has been made publically available at Github.</x:v>
      </x:c>
      <x:c r="J139" s="88" t="str">
        <x:v>Blockchain Technology Applications and Security; Cloud Data Security Solutions; Cloud Computing and Resource Management; Computer Science</x:v>
      </x:c>
      <x:c r="K139" s="88" t="str">
        <x:v>https://doi.org/10.1016/j.compeleceng.2019.03.014 ; https://openalex.org/W2930456362 ; https://www.semanticscholar.org/paper/aaa545332c9da2f75ed8399f3f26200c92509ff6</x:v>
      </x:c>
    </x:row>
    <x:row r="140" ht="62" customHeight="1">
      <x:c r="A140" s="86" t="n">
        <x:v>139</x:v>
      </x:c>
      <x:c r="B140" s="88" t="str">
        <x:v>RESIDENT: a reliable residue number system-based data transmission mechanism for wireless sensor networks</x:v>
      </x:c>
      <x:c r="C140" s="88" t="str">
        <x:v>10.1007/s11276-016-1357-1</x:v>
      </x:c>
      <x:c r="D140" s="88" t="n">
        <x:v>2016</x:v>
      </x:c>
      <x:c r="E140" s="88" t="str">
        <x:v>Wireless Networks</x:v>
      </x:c>
      <x:c r="F140" s="88" t="str">
        <x:v>High</x:v>
      </x:c>
      <x:c r="G140" s="88" t="str">
        <x:v>Not found in Crossref/OpenAlex/Semantic Scholar</x:v>
      </x:c>
      <x:c r="H140" s="88" t="str"/>
      <x:c r="I140" s="88" t="str"/>
      <x:c r="J140" s="88" t="str">
        <x:v>Cooperative Communication and Network Coding; Mobile Ad Hoc Networks; Error Correcting Code Techniques; Computer Science</x:v>
      </x:c>
      <x:c r="K140" s="88" t="str">
        <x:v>https://doi.org/10.1007/s11276-016-1357-1 ; https://openalex.org/W2513351355 ; https://www.semanticscholar.org/paper/ca28ac6a5ada61b6b5c667db89b841c9c08ff5ec</x:v>
      </x:c>
    </x:row>
    <x:row r="141" ht="62" customHeight="1">
      <x:c r="A141" s="86" t="n">
        <x:v>140</x:v>
      </x:c>
      <x:c r="B141" s="88" t="str">
        <x:v>Sustainable Industry 4.0 framework: A systematic literature review identifying the current trends and future perspectives</x:v>
      </x:c>
      <x:c r="C141" s="88" t="str">
        <x:v>10.1016/j.psep.2018.05.009</x:v>
      </x:c>
      <x:c r="D141" s="88" t="n">
        <x:v>2018</x:v>
      </x:c>
      <x:c r="E141" s="88" t="str">
        <x:v>Process Safety and Environmental Protection</x:v>
      </x:c>
      <x:c r="F141" s="88" t="str">
        <x:v>High</x:v>
      </x:c>
      <x:c r="G141" s="88" t="str">
        <x:v>Available</x:v>
      </x:c>
      <x:c r="H141" s="88" t="str">
        <x:v>Semantic Scholar</x:v>
      </x:c>
      <x:c r="I141" s="88" t="str">
        <x:v>Abstract Industry 4.0 and its other synonyms like Smart Manufacturing, Smart Production or Internet of Things, have been identified as major contributors in the context of digital and automated manufacturing environment. The term industry 4.0 comprises a variety of technologies to enable the development of the value chain resulting in reduced manufacturing lead times, and improved product quality and organizational performance. Industry 4.0 has attracted much attention in the recent literature, however there are very few systematic and extensive review of research that captures the dynamic nature of this topic. The rapidly growing interest from both academics and practitioners in Industry 4.0 has urged the need for review of up-to-date research and development to develop a new agenda. Selected 85 papers were classified in five research categories namely conceptual papers on Industry 4.0, human-machine interactions, machine-equipment interactions, technologies of Industry 4.0 and sustainability. The review primarily attempted to seek answers to the following two questions: (1) What are different research approaches used to study Industry 4.0? and (2) What is the current status of research in the domains of Industry 4.0?. We propose a sustainable Industry 4.0 framework based on the findings of the review with three critical components viz., Industry 4.0 technologies, process integration and sustainable outcomes. Finally, the scope of future research is discussed in detail.</x:v>
      </x:c>
      <x:c r="J141" s="88" t="str">
        <x:v>Digital Transformation in Industry; Flexible and Reconfigurable Manufacturing Systems; Business</x:v>
      </x:c>
      <x:c r="K141" s="88" t="str">
        <x:v>https://doi.org/10.1016/j.psep.2018.05.009 ; https://openalex.org/W2806407311 ; https://www.semanticscholar.org/paper/bb9984468aad8b68b09cb1affa7cb051e2bf5397</x:v>
      </x:c>
    </x:row>
    <x:row r="142" ht="62" customHeight="1">
      <x:c r="A142" s="86" t="n">
        <x:v>141</x:v>
      </x:c>
      <x:c r="B142" s="88" t="str">
        <x:v>Performance Modeling of PBFT Consensus Process for Permissioned Blockchain Network (Hyperledger Fabric)</x:v>
      </x:c>
      <x:c r="C142" s="88" t="str">
        <x:v>10.1109/srds.2017.36</x:v>
      </x:c>
      <x:c r="D142" s="88" t="n">
        <x:v>2017</x:v>
      </x:c>
      <x:c r="E142" s="88" t="str">
        <x:v>2017 IEEE 36th Symposium on Reliable Distributed Systems (SRDS)</x:v>
      </x:c>
      <x:c r="F142" s="88" t="str">
        <x:v>High</x:v>
      </x:c>
      <x:c r="G142" s="88" t="str">
        <x:v>Available</x:v>
      </x:c>
      <x:c r="H142" s="88" t="str">
        <x:v>OpenAlex</x:v>
      </x:c>
      <x:c r="I142" s="88" t="str">
        <x:v>While Blockchain network brings tremendous benefits, there are concerns whether their performance would match up with the mainstream IT systems. This paper aims to investigate whether the consensus process using Practical Byzantine Fault Tolerance (PBFT) could be a performance bottleneck for networks with a large number of peers. We model the PBFT consensus process using Stochastic Reward Nets (SRN) to compute the mean time to complete consensus for networks up to 100 peers. We create a blockchain network using IBM Bluemix service, running a production-grade IoT application and use the data to parameterize and validate our models. We also conduct sensitivity analysis over a variety of system parameters and examine the performance of larger networks</x:v>
      </x:c>
      <x:c r="J142" s="88" t="str">
        <x:v>Distributed systems and fault tolerance; Age of Information Optimization; Blockchain Technology Applications and Security; Computer Science</x:v>
      </x:c>
      <x:c r="K142" s="88" t="str">
        <x:v>https://doi.org/10.1109/srds.2017.36 ; https://openalex.org/W2765239986 ; https://www.semanticscholar.org/paper/187215803f494171887a012cb0116157046c292a</x:v>
      </x:c>
    </x:row>
    <x:row r="143" ht="62" customHeight="1">
      <x:c r="A143" s="86" t="n">
        <x:v>142</x:v>
      </x:c>
      <x:c r="B143" s="88" t="str">
        <x:v>Irrigation management under water scarcity</x:v>
      </x:c>
      <x:c r="C143" s="88" t="str">
        <x:v>10.1016/s0378-3774(02)00075-6</x:v>
      </x:c>
      <x:c r="D143" s="88" t="n">
        <x:v>2002</x:v>
      </x:c>
      <x:c r="E143" s="88" t="str">
        <x:v>Agricultural Water Management</x:v>
      </x:c>
      <x:c r="F143" s="88" t="str">
        <x:v>High</x:v>
      </x:c>
      <x:c r="G143" s="88" t="str">
        <x:v>Not found in Crossref/OpenAlex/Semantic Scholar</x:v>
      </x:c>
      <x:c r="H143" s="88" t="str"/>
      <x:c r="I143" s="88" t="str"/>
      <x:c r="J143" s="88" t="str">
        <x:v>Irrigation Practices and Water Management; Water resources management and optimization; Plant Water Relations and Carbon Dynamics; Environmental Science</x:v>
      </x:c>
      <x:c r="K143" s="88" t="str">
        <x:v>https://doi.org/10.1016/s0378-3774(02)00075-6 ; https://openalex.org/W2007442358 ; https://www.semanticscholar.org/paper/43e7839035fef83db6a22b609e0fe2e4b0c430fc</x:v>
      </x:c>
    </x:row>
    <x:row r="144" ht="62" customHeight="1">
      <x:c r="A144" s="86" t="n">
        <x:v>143</x:v>
      </x:c>
      <x:c r="B144" s="88" t="str">
        <x:v>Sensor-Based Model Driven Control Strategy for Precision Irrigation</x:v>
      </x:c>
      <x:c r="C144" s="88" t="str">
        <x:v>10.1155/2016/9784071</x:v>
      </x:c>
      <x:c r="D144" s="88" t="n">
        <x:v>2016</x:v>
      </x:c>
      <x:c r="E144" s="88" t="str">
        <x:v>Journal of Sensors</x:v>
      </x:c>
      <x:c r="F144" s="88" t="str">
        <x:v>High</x:v>
      </x:c>
      <x:c r="G144" s="88" t="str">
        <x:v>Available</x:v>
      </x:c>
      <x:c r="H144" s="88" t="str">
        <x:v>Crossref</x:v>
      </x:c>
      <x:c r="I144" s="88" t="str">
        <x:v>Improving the efficiency of the agricultural irrigation systems substantially contributes to sustainable water management. This improvement can be achieved through an automated irrigation system that includes a real-time control strategy based on the water, soil, and crop relationship. This paper presents a model driven control strategy applied to an irrigation system, in order to make an efficient use of water for large crop fields, that is, applying the correct amount of water in the correct place at the right moment. The proposed model uses a predictive algorithm that senses soil moisture and weather variables, to determine optimal amount of water required by the crop. This proposed approach is evaluated against a traditional irrigation system based on the empirical definition of time periods and against a basic soil moisture control system. Results indicate that the use of a model predictive control in an irrigation system achieves a higher efficiency and significantly reduce the water consumption.</x:v>
      </x:c>
      <x:c r="J144" s="88" t="str">
        <x:v>Irrigation Practices and Water Management; Smart Agriculture and AI; Greenhouse Technology and Climate Control; Engineering; Computer Science</x:v>
      </x:c>
      <x:c r="K144" s="88" t="str">
        <x:v>https://doi.org/10.1155/2016/9784071 ; https://openalex.org/W2551203847 ; https://www.semanticscholar.org/paper/a3407fd3e997d28f06884e945868b7bc36c390c3</x:v>
      </x:c>
    </x:row>
    <x:row r="145" ht="62" customHeight="1">
      <x:c r="A145" s="86" t="n">
        <x:v>144</x:v>
      </x:c>
      <x:c r="B145" s="88" t="str">
        <x:v>Improved indicators of water use performance and productivity for sustainable water conservation and saving</x:v>
      </x:c>
      <x:c r="C145" s="88" t="str">
        <x:v>10.1016/j.agwat.2011.08.022</x:v>
      </x:c>
      <x:c r="D145" s="88" t="n">
        <x:v>2012</x:v>
      </x:c>
      <x:c r="E145" s="88" t="str">
        <x:v>Agricultural Water Management</x:v>
      </x:c>
      <x:c r="F145" s="88" t="str">
        <x:v>High</x:v>
      </x:c>
      <x:c r="G145" s="88" t="str">
        <x:v>Not found in Crossref/OpenAlex/Semantic Scholar</x:v>
      </x:c>
      <x:c r="H145" s="88" t="str"/>
      <x:c r="I145" s="88" t="str"/>
      <x:c r="J145" s="88" t="str">
        <x:v>Irrigation Practices and Water Management; Water resources management and optimization; Plant Water Relations and Carbon Dynamics; Environmental Science; Chemistry</x:v>
      </x:c>
      <x:c r="K145" s="88" t="str">
        <x:v>https://doi.org/10.1016/j.agwat.2011.08.022 ; https://openalex.org/W2038966034 ; https://www.semanticscholar.org/paper/35163c74d243d1cc470845b6366385c1e6c4bb3b</x:v>
      </x:c>
    </x:row>
    <x:row r="146" ht="62" customHeight="1">
      <x:c r="A146" s="86" t="n">
        <x:v>145</x:v>
      </x:c>
      <x:c r="B146" s="88" t="str">
        <x:v>Efficient productivity prediction model based on edge data compression in smart farms</x:v>
      </x:c>
      <x:c r="C146" s="88" t="str">
        <x:v>10.1016/j.atech.2025.101242</x:v>
      </x:c>
      <x:c r="D146" s="88" t="n">
        <x:v>2025</x:v>
      </x:c>
      <x:c r="E146" s="88" t="str">
        <x:v>Smart Agricultural Technology</x:v>
      </x:c>
      <x:c r="F146" s="88" t="str">
        <x:v>High</x:v>
      </x:c>
      <x:c r="G146" s="88" t="str">
        <x:v>Available</x:v>
      </x:c>
      <x:c r="H146" s="88" t="str">
        <x:v>OpenAlex</x:v>
      </x:c>
      <x:c r="I146" s="88" t="str">
        <x:v>Amid escalating global farmland degradation alongside rising food demand. Smart farms are playing an increasingly vital role as a key approach to enhancing crop productivity. By integrating Internet of Things (IoT) devices with edge computing, smart farms significantly improve real-time data processing and decision-making capabilities, thereby enhancing agricultural productivity. However, existing smart farms often face challenges, such as inefficiencies and performance bottlenecks, due to the limitations of traditional cloud computing architectures. For providing solutions to the problems existing in current smart farms, such as excessive energy consumption, and redundant data transmission, this paper proposes an adaptive optimization strategy based on priority scheduling and multi-source information fusion. This strategy integrates lightweight edge models and region-aware clippings and compression techniques to reduce data transmission while retaining key agronomic features. Furthermore, the strategy's multi-dimensional resource-aware scheduling and optimized network multiplexing significantly enhance the efficiency of data acquisition and transmission. Meanwhile, a cloud-edge collaborative decision-making model is adopted to accurately analyze crop maturity through real-time processing of heterogeneous data. Experimental results show that under minimal packet loss, the system significantly improves data transmission performance and reasoning reliability. Even under high compression conditions, the precision loss remains at a relatively low level. This study effectively balances data efficiency and analytical precision through advanced edge intelligence, showcasing its feasibility and application potential in resource-constrained agricultural settings. The proposed approach offers a novel solution for precision agriculture, contributing to global food security and sustainable development.</x:v>
      </x:c>
      <x:c r="J146" s="88" t="str">
        <x:v>Smart Agriculture and AI; Food Supply Chain Traceability</x:v>
      </x:c>
      <x:c r="K146" s="88" t="str">
        <x:v>https://doi.org/10.1016/j.atech.2025.101242 ; https://openalex.org/W4413049772 ; https://www.semanticscholar.org/paper/62c9115ea0b02a8c327f21b1d5c807275a2dfa83</x:v>
      </x:c>
    </x:row>
    <x:row r="147" ht="62" customHeight="1">
      <x:c r="A147" s="86" t="n">
        <x:v>146</x:v>
      </x:c>
      <x:c r="B147" s="88" t="str">
        <x:v>The Chinese Remainder Theorem</x:v>
      </x:c>
      <x:c r="C147" s="88" t="str">
        <x:v>10.1201/b17673-23</x:v>
      </x:c>
      <x:c r="D147" s="88" t="n">
        <x:v>2014</x:v>
      </x:c>
      <x:c r="E147" s="88" t="str">
        <x:v>A First Course in Abstract Algebra</x:v>
      </x:c>
      <x:c r="F147" s="88" t="str">
        <x:v>High</x:v>
      </x:c>
      <x:c r="G147" s="88" t="str">
        <x:v>Available</x:v>
      </x:c>
      <x:c r="H147" s="88" t="str">
        <x:v>OpenAlex</x:v>
      </x:c>
      <x:c r="I147" s="88" t="str">
        <x:v>We can cast considerable light on the arithmetic of the rings Zm, by making use of the theory of the previous chapters. We will in the process encounter a famous and ancient result known as the Chinese Remainder Theorem.</x:v>
      </x:c>
      <x:c r="J147" s="88" t="str">
        <x:v>Chinese history and philosophy; Vietnamese History and Culture Studies</x:v>
      </x:c>
      <x:c r="K147" s="88" t="str">
        <x:v>https://doi.org/10.1201/b17673-23 ; https://openalex.org/W2311023058</x:v>
      </x:c>
    </x:row>
    <x:row r="148" ht="62" customHeight="1">
      <x:c r="A148" s="86" t="n">
        <x:v>147</x:v>
      </x:c>
      <x:c r="B148" s="88" t="str">
        <x:v>The Art of Computer Programming. Volume 2: Seminumerical Algorithms.</x:v>
      </x:c>
      <x:c r="C148" s="88" t="str">
        <x:v>10.2307/2317055</x:v>
      </x:c>
      <x:c r="D148" s="88" t="n">
        <x:v>1970</x:v>
      </x:c>
      <x:c r="E148" s="88" t="str">
        <x:v>The American Mathematical Monthly</x:v>
      </x:c>
      <x:c r="F148" s="88" t="str">
        <x:v>High</x:v>
      </x:c>
      <x:c r="G148" s="88" t="str">
        <x:v>Not found in Crossref/OpenAlex/Semantic Scholar</x:v>
      </x:c>
      <x:c r="H148" s="88" t="str"/>
      <x:c r="I148" s="88" t="str"/>
      <x:c r="J148" s="88" t="str">
        <x:v>Metaheuristic Optimization Algorithms Research</x:v>
      </x:c>
      <x:c r="K148" s="88" t="str">
        <x:v>https://doi.org/10.2307/2317055 ; https://openalex.org/W1981663184</x:v>
      </x:c>
    </x:row>
    <x:row r="149" ht="62" customHeight="1">
      <x:c r="A149" s="86" t="n">
        <x:v>148</x:v>
      </x:c>
      <x:c r="B149" s="88" t="str">
        <x:v>An introduction to the theory of numbers</x:v>
      </x:c>
      <x:c r="C149" s="88" t="str">
        <x:v>10.1016/0016-0032(60)90676-1</x:v>
      </x:c>
      <x:c r="D149" s="88" t="n">
        <x:v>1960</x:v>
      </x:c>
      <x:c r="E149" s="88" t="str">
        <x:v>Journal of the Franklin Institute</x:v>
      </x:c>
      <x:c r="F149" s="88" t="str">
        <x:v>High</x:v>
      </x:c>
      <x:c r="G149" s="88" t="str">
        <x:v>Not found in Crossref/OpenAlex/Semantic Scholar</x:v>
      </x:c>
      <x:c r="H149" s="88" t="str"/>
      <x:c r="I149" s="88" t="str"/>
      <x:c r="J149" s="88" t="str">
        <x:v>History and Theory of Mathematics; Advanced Mathematical Theories</x:v>
      </x:c>
      <x:c r="K149" s="88" t="str">
        <x:v>https://doi.org/10.1016/0016-0032(60)90676-1 ; https://openalex.org/W2076597612 ; https://www.semanticscholar.org/paper/0845cdf5506c124b3c46f7de7001cfe1de9258fe</x:v>
      </x:c>
    </x:row>
    <x:row r="150" ht="62" customHeight="1">
      <x:c r="A150" s="86" t="n">
        <x:v>149</x:v>
      </x:c>
      <x:c r="B150" s="88" t="str">
        <x:v>Handbook of applied cryptography</x:v>
      </x:c>
      <x:c r="C150" s="88" t="str">
        <x:v>10.5860/choice.34-4512</x:v>
      </x:c>
      <x:c r="D150" s="88" t="n">
        <x:v>1997</x:v>
      </x:c>
      <x:c r="E150" s="88" t="str">
        <x:v>Choice Reviews Online</x:v>
      </x:c>
      <x:c r="F150" s="88" t="str">
        <x:v>High</x:v>
      </x:c>
      <x:c r="G150" s="88" t="str">
        <x:v>Available</x:v>
      </x:c>
      <x:c r="H150" s="88" t="str">
        <x:v>OpenAlex</x:v>
      </x:c>
      <x:c r="I150" s="88" t="str">
        <x:v>As we draw near to closing out the twentieth century, we see quite clearly that the information-processing and telecommunications revolutions now underway will continue vigorously into the twenty-first. We interact and transact by directing flocks of digital packets towards each other through cyberspace, carrying love notes, digital cash, and secret corporate documents. Our personal and economic lives rely more and more on our ability to let such ethereal carrier pigeons mediate at a distance what we used to do with face-to-face meetings, paper documents, and a firm handshake. Unfortunately, the technical wizardry enabling remote collaborations is founded on broadcasting everything as sequences of zeros and ones that one&amp;apos;s own dog wouldn&amp;apos;t recognize. What is to distinguish a digital dollar when it is as easily reproducible as the spoken word? How do we converse privately when every syllable is bounced off a satellite and smeared over an entire continent? How should a bank know that it really is Bill Gates requesting from his laptop in Fiji a transfer of $10,000,000,000 to another bank? Fortunately, the magical mathematics of cryptography can help. Cryptography provides techniques for keeping information secret, for determining that information</x:v>
      </x:c>
      <x:c r="J150" s="88" t="str">
        <x:v>Cryptographic Implementations and Security; Coding theory and cryptography; Chaos-based Image/Signal Encryption</x:v>
      </x:c>
      <x:c r="K150" s="88" t="str">
        <x:v>https://doi.org/10.5860/choice.34-4512 ; https://openalex.org/W1660562555</x:v>
      </x:c>
    </x:row>
    <x:row r="151" ht="62" customHeight="1">
      <x:c r="A151" s="86" t="n">
        <x:v>150</x:v>
      </x:c>
      <x:c r="B151" s="88" t="str">
        <x:v>A Computational Introduction to Number Theory and Algebra</x:v>
      </x:c>
      <x:c r="C151" s="88" t="str">
        <x:v>10.1017/cbo9780511814549</x:v>
      </x:c>
      <x:c r="D151" s="88" t="n">
        <x:v>2008</x:v>
      </x:c>
      <x:c r="E151" s="88" t="str">
        <x:v>Cambridge University Press eBooks</x:v>
      </x:c>
      <x:c r="F151" s="88" t="str">
        <x:v>High</x:v>
      </x:c>
      <x:c r="G151" s="88" t="str">
        <x:v>Available</x:v>
      </x:c>
      <x:c r="H151" s="88" t="str">
        <x:v>Crossref</x:v>
      </x:c>
      <x:c r="I151" s="88" t="str">
        <x:v>Number theory and algebra play an increasingly significant role in computing and communications, as evidenced by the striking applications of these subjects to such fields as cryptography and coding theory. This introductory book emphasizes algorithms and applications, such as cryptography and error correcting codes, and is accessible to a broad audience. The presentation alternates between theory and applications in order to motivate and illustrate the mathematics. The mathematical coverage includes the basics of number theory, abstract algebra and discrete probability theory. This edition now includes over 150 new exercises, ranging from the routine to the challenging, that flesh out the material presented in the body of the text, and which further develop the theory and present new applications. The material has also been reorganized to improve clarity of exposition and presentation. Ideal as a textbook for introductory courses in number theory and algebra, especially those geared towards computer science students.</x:v>
      </x:c>
      <x:c r="J151" s="88" t="str">
        <x:v>Advanced Mathematical Theories</x:v>
      </x:c>
      <x:c r="K151" s="88" t="str">
        <x:v>https://doi.org/10.1017/cbo9780511814549 ; https://openalex.org/W1491152510</x:v>
      </x:c>
    </x:row>
    <x:row r="152" ht="62" customHeight="1">
      <x:c r="A152" s="86" t="n">
        <x:v>151</x:v>
      </x:c>
      <x:c r="B152" s="88" t="str">
        <x:v>A universal algorithm for sequential data compression</x:v>
      </x:c>
      <x:c r="C152" s="88" t="str">
        <x:v>10.1109/tit.1977.1055714</x:v>
      </x:c>
      <x:c r="D152" s="88" t="n">
        <x:v>1977</x:v>
      </x:c>
      <x:c r="E152" s="88" t="str">
        <x:v>IEEE Transactions on Information Theory</x:v>
      </x:c>
      <x:c r="F152" s="88" t="str">
        <x:v>High</x:v>
      </x:c>
      <x:c r="G152" s="88" t="str">
        <x:v>Available</x:v>
      </x:c>
      <x:c r="H152" s="88" t="str">
        <x:v>OpenAlex</x:v>
      </x:c>
      <x:c r="I152" s="88" t="str">
        <x:v>A universal algorithm for sequential data compression is presented. Its performance is investigated with respect to a nonprobabilistic model of constrained sources. The compression ratio achieved by the proposed universal code uniformly approaches the lower bounds on the compression ratios attainable by block-to-variable codes and variable-to-block codes designed to match a completely specified source.</x:v>
      </x:c>
      <x:c r="J152" s="88" t="str">
        <x:v>Algorithms and Data Compression; Cellular Automata and Applications; Advanced Data Compression Techniques; Computer Science</x:v>
      </x:c>
      <x:c r="K152" s="88" t="str">
        <x:v>https://doi.org/10.1109/tit.1977.1055714 ; https://openalex.org/W2107745473 ; https://www.semanticscholar.org/paper/59c9f2036e673d8bc9713eed851d12c6c9fe53cb</x:v>
      </x:c>
    </x:row>
    <x:row r="153" ht="62" customHeight="1">
      <x:c r="A153" s="86" t="n">
        <x:v>152</x:v>
      </x:c>
      <x:c r="B153" s="88" t="str">
        <x:v>A Method for the Construction of Minimum-Redundancy Codes</x:v>
      </x:c>
      <x:c r="C153" s="88" t="str">
        <x:v>10.1109/jrproc.1952.273898</x:v>
      </x:c>
      <x:c r="D153" s="88" t="n">
        <x:v>1952</x:v>
      </x:c>
      <x:c r="E153" s="88" t="str">
        <x:v>Proceedings of the IRE</x:v>
      </x:c>
      <x:c r="F153" s="88" t="str">
        <x:v>High</x:v>
      </x:c>
      <x:c r="G153" s="88" t="str">
        <x:v>Available</x:v>
      </x:c>
      <x:c r="H153" s="88" t="str">
        <x:v>OpenAlex</x:v>
      </x:c>
      <x:c r="I153" s="88" t="str">
        <x:v>An optimum method of coding an ensemble of messages consisting of a finite number of members is developed. A minimum-redundancy code is one constructed in such a way that the average number of coding digits per message is minimized.</x:v>
      </x:c>
      <x:c r="J153" s="88" t="str">
        <x:v>graph theory and CDMA systems; Coding theory and cryptography; Cybersecurity and Information Systems</x:v>
      </x:c>
      <x:c r="K153" s="88" t="str">
        <x:v>https://doi.org/10.1109/jrproc.1952.273898 ; https://openalex.org/W2060108852</x:v>
      </x:c>
    </x:row>
    <x:row r="154" ht="62" customHeight="1">
      <x:c r="A154" s="86" t="n">
        <x:v>153</x:v>
      </x:c>
      <x:c r="B154" s="88" t="str">
        <x:v>Data Compression: The Complete Reference</x:v>
      </x:c>
      <x:c r="C154" s="88" t="str">
        <x:v>10.1108/k.2009.06738eae.001</x:v>
      </x:c>
      <x:c r="D154" s="88" t="n">
        <x:v>2009</x:v>
      </x:c>
      <x:c r="E154" s="88" t="str">
        <x:v>Kybernetes</x:v>
      </x:c>
      <x:c r="F154" s="88" t="str">
        <x:v>High</x:v>
      </x:c>
      <x:c r="G154" s="88" t="str">
        <x:v>Available</x:v>
      </x:c>
      <x:c r="H154" s="88" t="str">
        <x:v>OpenAlex</x:v>
      </x:c>
      <x:c r="I154" s="88" t="str">
        <x:v>Data compression is one of the most important fields and tools in modern computing. From archiving data, CD ROMs, and from coding theory image analysis, many facets of modern computing rely upon data compression. Data Compression provides a comprehensive reference for the many different types and methods of compression. Included are a detailed and helpful taxonomy, analysis of most common methods, and discussions on the use and comparative benefits of methods and description of how to use them. The presentation is organized into the main branches of the field of data compression: run length encoding, statistical methods, dictionary-based methods, image compression, audio compression, and video compression. Detailed descriptions and explanations of the most well-known and frequently used compression methods are covered in a self-contained fashion, with an accessible style and technical level for specialists and nonspecialists. Topics and features: coverage of video compression, including MPEG-1 and H.261 thorough coverage of wavelets methods, including CWT, DWT, EZW and the new Lifting Scheme technique complete audio compression QM coder used in JPEG and JBIG, including new JPEG 200 standard image transformations and detailed coverage of discrete cosine transform and Haar transform coverage of EIDAC method for compressing simple images prefix image compression ACB and FHM curve compression geometric compression and edgebreaker technique.Data Compression provides an invaluable reference and guide for all computer scientists, computer engineers, electrical engineers, signal/image processing engineers and other scientists needing a comprehensive compilation for a broad range of compression methods.</x:v>
      </x:c>
      <x:c r="J154" s="88" t="str">
        <x:v>Algorithms and Data Compression; Advanced Data Compression Techniques; Computer Science</x:v>
      </x:c>
      <x:c r="K154" s="88" t="str">
        <x:v>https://doi.org/10.1108/k.2009.06738eae.001 ; https://openalex.org/W2155729921 ; https://www.semanticscholar.org/paper/0cbe1fb5ee08429bb618a04e6f603721f1b3a7d9</x:v>
      </x:c>
    </x:row>
    <x:row r="155" ht="62" customHeight="1">
      <x:c r="A155" s="86" t="n">
        <x:v>154</x:v>
      </x:c>
      <x:c r="B155" s="88" t="str">
        <x:v>Internet of Things (IoT): A vision, architectural elements, and future directions</x:v>
      </x:c>
      <x:c r="C155" s="88" t="str">
        <x:v>10.1016/j.future.2013.01.010</x:v>
      </x:c>
      <x:c r="D155" s="88" t="n">
        <x:v>2013</x:v>
      </x:c>
      <x:c r="E155" s="88" t="str">
        <x:v>Future Generation Computer Systems</x:v>
      </x:c>
      <x:c r="F155" s="88" t="str">
        <x:v>High</x:v>
      </x:c>
      <x:c r="G155" s="88" t="str">
        <x:v>Available</x:v>
      </x:c>
      <x:c r="H155" s="88" t="str">
        <x:v>Semantic Scholar</x:v>
      </x:c>
      <x:c r="I155" s="88" t="str">
        <x:v>Ubiquitous sensing enabled by Wireless Sensor Network (WSN) technologies cuts across many areas of modern day living. This offers the ability to measure, infer and understand environmental indicators, from delicate ecologies and natural resources to urban environments. The proliferation of these devices in a communicating-actuating network creates the Internet of Things (IoT), wherein sensors and actuators blend seamlessly with the environment around us, and the information is shared across platforms in order to develop a common operating picture (COP). Fueled by the recent adaptation of a variety of enabling wireless technologies such as RFID tags and embedded sensor and actuator nodes, the IoT has stepped out of its infancy and is the next revolutionary technology in transforming the Internet into a fully integrated Future Internet. As we move from www (static pages web) to web2 (social networking web) to web3 (ubiquitous computing web), the need for data-on-demand using sophisticated intuitive queries increases significantly. This paper presents a Cloud centric vision for worldwide implementation of Internet of Things. The key enabling technologies and application domains that are likely to drive IoT research in the near future are discussed. A Cloud implementation using Aneka, which is based on interaction of private and public Clouds is presented. We conclude our IoT vision by expanding on the need for convergence of WSN, the Internet and distributed computing directed at technological research community.</x:v>
      </x:c>
      <x:c r="J155" s="88" t="str">
        <x:v>Energy Efficient Wireless Sensor Networks; IoT and Edge/Fog Computing; Mobile Crowdsensing and Crowdsourcing; Computer Science</x:v>
      </x:c>
      <x:c r="K155" s="88" t="str">
        <x:v>https://doi.org/10.1016/j.future.2013.01.010 ; https://openalex.org/W2111619626 ; https://www.semanticscholar.org/paper/72c4d8b64a9959ea45677ca1955d3491ef0f1c62</x:v>
      </x:c>
    </x:row>
    <x:row r="156" ht="62" customHeight="1">
      <x:c r="A156" s="86" t="n">
        <x:v>155</x:v>
      </x:c>
      <x:c r="B156" s="88" t="str">
        <x:v>Blockchains and Smart Contracts for the Internet of Things</x:v>
      </x:c>
      <x:c r="C156" s="88" t="str">
        <x:v>10.1109/access.2016.2566339</x:v>
      </x:c>
      <x:c r="D156" s="88" t="n">
        <x:v>2016</x:v>
      </x:c>
      <x:c r="E156" s="88" t="str">
        <x:v>IEEE Access</x:v>
      </x:c>
      <x:c r="F156" s="88" t="str">
        <x:v>High</x:v>
      </x:c>
      <x:c r="G156" s="88" t="str">
        <x:v>Available</x:v>
      </x:c>
      <x:c r="H156" s="88" t="str">
        <x:v>OpenAlex</x:v>
      </x:c>
      <x:c r="I156" s="88" t="str">
        <x:v>Motivated by the recent explosion of interest around blockchains, we examine whether they make a good fit for the Internet of Things (IoT) sector. Blockchains allow us to have a distributed peer-to-peer network where non-trusting members can interact with each other without a trusted intermediary, in a verifiable manner. We review how this mechanism works and also look into smart contracts-scripts that reside on the blockchain that allow for the automation of multi-step processes. We then move into the IoT domain, and describe how a blockchain-IoT combination: 1) facilitates the sharing of services and resources leading to the creation of a marketplace of services between devices and 2) allows us to automate in a cryptographically verifiable manner several existing, time-consuming workflows. We also point out certain issues that should be considered before the deployment of a blockchain network in an IoT setting: from transactional privacy to the expected value of the digitized assets traded on the network. Wherever applicable, we identify solutions and workarounds. Our conclusion is that the blockchain-IoT combination is powerful and can cause significant transformations across several industries, paving the way for new business models and novel, distributed applications.</x:v>
      </x:c>
      <x:c r="J156" s="88" t="str">
        <x:v>Blockchain Technology Applications and Security; Digital Platforms and Economics; Cryptography and Data Security; Computer Science</x:v>
      </x:c>
      <x:c r="K156" s="88" t="str">
        <x:v>https://doi.org/10.1109/access.2016.2566339 ; https://openalex.org/W2392113277 ; https://www.semanticscholar.org/paper/c998aeb12b78122ec4143b608b517aef0aa2c821</x:v>
      </x:c>
    </x:row>
    <x:row r="157" ht="62" customHeight="1">
      <x:c r="A157" s="86" t="n">
        <x:v>156</x:v>
      </x:c>
      <x:c r="B157" s="88" t="str">
        <x:v>LoRa Modem Designer's Guide</x:v>
      </x:c>
      <x:c r="C157" s="88" t="str"/>
      <x:c r="D157" s="88" t="n">
        <x:v>2015</x:v>
      </x:c>
      <x:c r="E157" s="88" t="str"/>
      <x:c r="F157" s="88" t="str">
        <x:v>Unverified</x:v>
      </x:c>
      <x:c r="G157" s="88" t="str">
        <x:v>Not available; source may not be a journal paper</x:v>
      </x:c>
      <x:c r="H157" s="88" t="str"/>
      <x:c r="I157" s="88" t="str"/>
      <x:c r="J157" s="88" t="str"/>
      <x:c r="K157" s="88" t="str"/>
    </x:row>
    <x:row r="158" ht="62" customHeight="1">
      <x:c r="A158" s="86" t="n">
        <x:v>157</x:v>
      </x:c>
      <x:c r="B158" s="88" t="str">
        <x:v>Data Compression Algorithms for Wireless Sensor Networks: A Review and Comparison</x:v>
      </x:c>
      <x:c r="C158" s="88" t="str"/>
      <x:c r="D158" s="88" t="n">
        <x:v>2021</x:v>
      </x:c>
      <x:c r="E158" s="88" t="str">
        <x:v>IEEE Access</x:v>
      </x:c>
      <x:c r="F158" s="88" t="str">
        <x:v>Medium</x:v>
      </x:c>
      <x:c r="G158" s="88" t="str">
        <x:v>Available</x:v>
      </x:c>
      <x:c r="H158" s="88" t="str">
        <x:v>OpenAlex</x:v>
      </x:c>
      <x:c r="I158" s="88" t="str">
        <x:v>Energy consumption has risen to be a bottleneck in wireless sensor networks. This is caused by the challenges faced by these networks due to their tiny sensor nodes that have limited memory storage, small battery capacity, limited processing capability, and bandwidth. Data compression has been used to reduce energy consumption and improve network lifetime, as it reduces data size before it can be forwarded from the sensing node to the sink node in the network. In this paper, a survey and comparison of currently available data compression techniques in wireless sensor networks are conducted. Suitable sets of criteria are defined to classify existing data compression algorithms. An adaptive lossless data compression algorithm (ALDC) is analyzed through MATLAB coding and simulation from the reviewed data compression techniques. The analysis aims to discover strategies that can be used to reduce the amount of data further before it is transmitted. From this analysis, it was discovered that encoding residue samples, rather than raw data samples, reduced the bitstream from 112 bits to a range of 30 to 36 bits depending on the sample block sizes. The average length of data samples to be passed to the encoder was minimized from the original 14 bits per symbol to 1.125 bits per symbol. This demonstrated a 0.875 code efficiency or redundancy. It resulted in an energy saving of 67.8% to 73.2%. This work further proposes a data compression algorithm that encodes the residue samples with fewer bits than the ALDC algorithm. The algorithm reduced the bitstream to 26 bits. The average length of the code is equal to the entropy of the data samples, demonstrating zero redundancy and an improved energy saving of 76.8% compared to ALDC. The proposed algorithm, therefore, shows improved energy efficiency through data compression.</x:v>
      </x:c>
      <x:c r="J158" s="88" t="str">
        <x:v>Energy Efficient Wireless Sensor Networks; Energy Harvesting in Wireless Networks; Distributed Sensor Networks and Detection Algorithms</x:v>
      </x:c>
      <x:c r="K158" s="88" t="str">
        <x:v>https://openalex.org/W3201873277</x:v>
      </x:c>
    </x:row>
    <x:row r="159" ht="62" customHeight="1">
      <x:c r="A159" s="86" t="n">
        <x:v>158</x:v>
      </x:c>
      <x:c r="B159" s="88" t="str">
        <x:v>Energy consumption and bandwidth in wireless sensor networks</x:v>
      </x:c>
      <x:c r="C159" s="88" t="str"/>
      <x:c r="D159" s="88" t="n">
        <x:v>2004</x:v>
      </x:c>
      <x:c r="E159" s="88" t="str">
        <x:v>IEEE Micro</x:v>
      </x:c>
      <x:c r="F159" s="88" t="str">
        <x:v>Unverified</x:v>
      </x:c>
      <x:c r="G159" s="88" t="str">
        <x:v>Not found in Crossref/OpenAlex/Semantic Scholar</x:v>
      </x:c>
      <x:c r="H159" s="88" t="str"/>
      <x:c r="I159" s="88" t="str"/>
      <x:c r="J159" s="88" t="str"/>
      <x:c r="K159" s="88" t="str"/>
    </x:row>
    <x:row r="160" ht="62" customHeight="1">
      <x:c r="A160" s="86" t="n">
        <x:v>159</x:v>
      </x:c>
      <x:c r="B160" s="88" t="str">
        <x:v>Versatile low power media access for wireless sensor networks</x:v>
      </x:c>
      <x:c r="C160" s="88" t="str">
        <x:v>10.1145/1031495.1031508</x:v>
      </x:c>
      <x:c r="D160" s="88" t="n">
        <x:v>2004</x:v>
      </x:c>
      <x:c r="E160" s="88" t="str">
        <x:v>Proceedings of the 2nd international conference on Embedded networked sensor systems</x:v>
      </x:c>
      <x:c r="F160" s="88" t="str">
        <x:v>High</x:v>
      </x:c>
      <x:c r="G160" s="88" t="str">
        <x:v>Available</x:v>
      </x:c>
      <x:c r="H160" s="88" t="str">
        <x:v>OpenAlex</x:v>
      </x:c>
      <x:c r="I160" s="88" t="str">
        <x:v>We propose B-MAC , a carrier sense media access protocol for wireless sensor networks that provides a flexible interface to obtain ultra low power operation, effective collision avoidance, and high channel utilization. To achieve low power operation, B-MAC employs an adaptive preamble sampling scheme to reduce duty cycle and minimize idle listening. B-MAC supports on-the-fly reconfiguration and provides bidirectional interfaces for system services to optimize performance, whether it be for throughput, latency, or power conservation. We build an analytical model of a class of sensor network applications. We use the model to show the effect of changing B-MAC 's parameters and predict the behavior of sensor network applications. By comparing B-MAC to conventional 802.11-inspired protocols, specifically SMAC, we develop an experimental characterization of B-MAC over a wide range of network conditions. We show that B-MAC 's flexibility results in better packet delivery rates, throughput, latency, and energy consumption than S-MAC. By deploying a real world monitoring application with multihop networking, we validate our protocol design and model. Our results illustrate the need for flexible protocols to effectively realize energy efficient sensor network applications.</x:v>
      </x:c>
      <x:c r="J160" s="88" t="str">
        <x:v>Energy Efficient Wireless Sensor Networks; Wireless Networks and Protocols; Energy Harvesting in Wireless Networks; Computer Science</x:v>
      </x:c>
      <x:c r="K160" s="88" t="str">
        <x:v>https://doi.org/10.1145/1031495.1031508 ; https://openalex.org/W2150039965 ; https://www.semanticscholar.org/paper/af231ba1805e1ec4fd3998775535ad4a0a6688c3</x:v>
      </x:c>
    </x:row>
    <x:row r="161" ht="62" customHeight="1">
      <x:c r="A161" s="86" t="n">
        <x:v>160</x:v>
      </x:c>
      <x:c r="B161" s="88" t="str">
        <x:v>Spinous Process Inclination in Degenerative Lumbar Spinal Stenosis Individuals</x:v>
      </x:c>
      <x:c r="C161" s="88" t="str">
        <x:v>10.1155/2020/8875217</x:v>
      </x:c>
      <x:c r="D161" s="88" t="n">
        <x:v>2020</x:v>
      </x:c>
      <x:c r="E161" s="88" t="str">
        <x:v>BioMed Research International</x:v>
      </x:c>
      <x:c r="F161" s="88" t="str">
        <x:v>High</x:v>
      </x:c>
      <x:c r="G161" s="88" t="str">
        <x:v>Available</x:v>
      </x:c>
      <x:c r="H161" s="88" t="str">
        <x:v>Crossref</x:v>
      </x:c>
      <x:c r="I161" s="88" t="str">
        <x:v>The aim of this study is to determine the sagittal inclination of lumbar spinous processes (SPs) in individuals with degenerative lumbar spinal stenosis (DLSS). It is a retrospective computerized tomography (CT) study including 345 individuals divided into two groups: control (90 males, 90 females) and stenosis (80 males and 85 females. The SP inclination was measured in the midsagittal plane from L1 to L5 levels. Stenosis males (L3‐L5) and females (L1, L4) manifested significantly greater SP inclination compared to their counterparts in the control group. Males had significantly horizontal SP orientation compared to females (L1, L2). We also found that SP inclination became steeper as we descend caudally. This study indicates that SP inclinations are significantly associated with DLSS.</x:v>
      </x:c>
      <x:c r="J161" s="88" t="str">
        <x:v>Spine and Intervertebral Disc Pathology; Musculoskeletal pain and rehabilitation; Scoliosis diagnosis and treatment; Medicine</x:v>
      </x:c>
      <x:c r="K161" s="88" t="str">
        <x:v>https://doi.org/10.1155/2020/8875217 ; https://openalex.org/W3112734645 ; https://www.semanticscholar.org/paper/e990e6654f140ff479339f7e37c9ce77c59ab3da</x:v>
      </x:c>
    </x:row>
    <x:row r="162" ht="62" customHeight="1">
      <x:c r="A162" s="86" t="n">
        <x:v>161</x:v>
      </x:c>
      <x:c r="B162" s="88" t="str">
        <x:v>Identifying False Injection Packet Transmission using SVM and Secure OLSR in Wireless Sensor Networks</x:v>
      </x:c>
      <x:c r="C162" s="88" t="str">
        <x:v>10.1109/icdcece65353.2025.11035330</x:v>
      </x:c>
      <x:c r="D162" s="88" t="n">
        <x:v>2025</x:v>
      </x:c>
      <x:c r="E162" s="88" t="str">
        <x:v>2025 4th International Conference on Distributed Computing and Electrical Circuits and Electronics (ICDCECE)</x:v>
      </x:c>
      <x:c r="F162" s="88" t="str">
        <x:v>High</x:v>
      </x:c>
      <x:c r="G162" s="88" t="str">
        <x:v>Available</x:v>
      </x:c>
      <x:c r="H162" s="88" t="str">
        <x:v>OpenAlex</x:v>
      </x:c>
      <x:c r="I162" s="88" t="str">
        <x:v>Wireless Sensor Networks (WSNs) are systems of wirelessly communicating, geographically scattered sensor nodes that collect, process, and transmit data. Examples of applications for these networks are smart cities, industrial automation, healthcare, military, and environmental monitoring. Several research studies have been conducted on securing WSNs against false injection attacks, anomaly detection, and optimizing routing protocols. If a legitimate packet is accidentally discarded, vital information can be lost, and applications that rely on data accuracy can be compromised. To resolve the issue, this paper proposes an integrated security framework that combines Support Vector Machines (SVMs) for anomaly detection and Optimal LinkState Routing (OLSR) to achieve secure and efficient routing to avoid false injection in the WSN environment. Before detecting the anomaly, a Fuzzy clustering method is used to create the cluster and also select the appropriate cluster. After selecting the suitable cluster, the SVM model is trained to detect spuriously injected packets and anomaly nodes. Simultaneously, OLSR ensures secure and energy-efficient routing through cryptographic authentication and trusted path selection. The proposed model outcomes demonstrate that the suggested method accomplishes a Packet Delivery Rate (PDR) of 92% and an accuracy of 95% in detecting false injection attempts. In addition, energy consumption is reduced by 14% compared to traditional routing methods, significantly extending the network lifetime. The results show that integrating SVM and OLSR can effectively suppress false packet injection and improve WSN performance.</x:v>
      </x:c>
      <x:c r="J162" s="88" t="str">
        <x:v>Smart Grid Security and Resilience; Network Security and Intrusion Detection; Security in Wireless Sensor Networks</x:v>
      </x:c>
      <x:c r="K162" s="88" t="str">
        <x:v>https://doi.org/10.1109/icdcece65353.2025.11035330 ; https://openalex.org/W4411408867 ; https://www.semanticscholar.org/paper/cad1f9d718990a9960414c7c3e31b027cacec767</x:v>
      </x:c>
    </x:row>
    <x:row r="163" ht="62" customHeight="1">
      <x:c r="A163" s="86" t="n">
        <x:v>162</x:v>
      </x:c>
      <x:c r="B163" s="88" t="str">
        <x:v>Building Trust in IoT Networks: A ROM-Based Key Storage and Cloud Signature Verification Approach</x:v>
      </x:c>
      <x:c r="C163" s="88" t="str">
        <x:v>10.1109/iot.2025.11089136</x:v>
      </x:c>
      <x:c r="D163" s="88" t="n">
        <x:v>2025</x:v>
      </x:c>
      <x:c r="E163" s="88" t="str">
        <x:v>2025 IEEE International Conference on Internet of Things (iThings)</x:v>
      </x:c>
      <x:c r="F163" s="88" t="str">
        <x:v>Unverified</x:v>
      </x:c>
      <x:c r="G163" s="88" t="str">
        <x:v>Not found in Crossref/OpenAlex/Semantic Scholar</x:v>
      </x:c>
      <x:c r="H163" s="88" t="str"/>
      <x:c r="I163" s="88" t="str"/>
      <x:c r="J163" s="88" t="str"/>
      <x:c r="K163" s="88" t="str"/>
    </x:row>
    <x:row r="164" ht="62" customHeight="1">
      <x:c r="A164" s="86" t="n">
        <x:v>163</x:v>
      </x:c>
      <x:c r="B164" s="88" t="str">
        <x:v>ESP32S3 Cache block diagram and operations</x:v>
      </x:c>
      <x:c r="C164" s="88" t="str"/>
      <x:c r="D164" s="88" t="n">
        <x:v>2025</x:v>
      </x:c>
      <x:c r="E164" s="88" t="str"/>
      <x:c r="F164" s="88" t="str">
        <x:v>Unverified</x:v>
      </x:c>
      <x:c r="G164" s="88" t="str">
        <x:v>Not available; source may not be a journal paper</x:v>
      </x:c>
      <x:c r="H164" s="88" t="str"/>
      <x:c r="I164" s="88" t="str"/>
      <x:c r="J164" s="88" t="str"/>
      <x:c r="K164" s="88" t="str"/>
    </x:row>
    <x:row r="165" ht="62" customHeight="1">
      <x:c r="A165" s="86" t="n">
        <x:v>164</x:v>
      </x:c>
      <x:c r="B165" s="88" t="str">
        <x:v>Cache Management and Memory Barriers: esp-hal Documentation</x:v>
      </x:c>
      <x:c r="C165" s="88" t="str"/>
      <x:c r="D165" s="88" t="n">
        <x:v>2025</x:v>
      </x:c>
      <x:c r="E165" s="88" t="str"/>
      <x:c r="F165" s="88" t="str">
        <x:v>Unverified</x:v>
      </x:c>
      <x:c r="G165" s="88" t="str">
        <x:v>Not available; source may not be a journal paper</x:v>
      </x:c>
      <x:c r="H165" s="88" t="str"/>
      <x:c r="I165" s="88" t="str"/>
      <x:c r="J165" s="88" t="str"/>
      <x:c r="K165" s="88" t="str"/>
    </x:row>
    <x:row r="166" ht="62" customHeight="1">
      <x:c r="A166" s="86" t="n">
        <x:v>165</x:v>
      </x:c>
      <x:c r="B166" s="88" t="str">
        <x:v>Towards robust distributed systems (abstract)</x:v>
      </x:c>
      <x:c r="C166" s="88" t="str">
        <x:v>10.1145/343477.343502</x:v>
      </x:c>
      <x:c r="D166" s="88" t="n">
        <x:v>2000</x:v>
      </x:c>
      <x:c r="E166" s="88" t="str">
        <x:v>Proceedings of the nineteenth annual ACM symposium on Principles of distributed computing</x:v>
      </x:c>
      <x:c r="F166" s="88" t="str">
        <x:v>Medium</x:v>
      </x:c>
      <x:c r="G166" s="88" t="str">
        <x:v>Available</x:v>
      </x:c>
      <x:c r="H166" s="88" t="str">
        <x:v>OpenAlex</x:v>
      </x:c>
      <x:c r="I166" s="88" t="str">
        <x:v>Current distributed systems, even the ones that work, tend to be very fragile: they are hard to keep up, hard to manage, hard to grow, hard to evolve, and hard to program. In this talk, I look at several issues in an attempt to clean up the way we think about these systems. These issues include the fault model, high availability, graceful degradation, data consistency, evolution, composition, and autonomy.</x:v>
      </x:c>
      <x:c r="J166" s="88" t="str">
        <x:v>Distributed and Parallel Computing Systems; Cloud Computing and Resource Management; Software System Performance and Reliability; Computer Science</x:v>
      </x:c>
      <x:c r="K166" s="88" t="str">
        <x:v>https://doi.org/10.1145/343477.343502 ; https://openalex.org/W2095135670 ; https://www.semanticscholar.org/paper/cf1c70afbd942ff34595052c3438dc3f50a90167</x:v>
      </x:c>
    </x:row>
    <x:row r="167" ht="62" customHeight="1">
      <x:c r="A167" s="86" t="n">
        <x:v>166</x:v>
      </x:c>
      <x:c r="B167" s="88" t="str">
        <x:v>Brewer's conjecture and the feasibility of consistent, available, partition-tolerant web services</x:v>
      </x:c>
      <x:c r="C167" s="88" t="str">
        <x:v>10.1145/564585.564601</x:v>
      </x:c>
      <x:c r="D167" s="88" t="n">
        <x:v>2002</x:v>
      </x:c>
      <x:c r="E167" s="88" t="str">
        <x:v>ACM SIGACT News</x:v>
      </x:c>
      <x:c r="F167" s="88" t="str">
        <x:v>High</x:v>
      </x:c>
      <x:c r="G167" s="88" t="str">
        <x:v>Available</x:v>
      </x:c>
      <x:c r="H167" s="88" t="str">
        <x:v>Crossref</x:v>
      </x:c>
      <x:c r="I167" s="88" t="str">
        <x:v>When designing distributed web services, there are three properties that are commonly desired: consistency, availability, and partition tolerance. It is impossible to achieve all three. In this note, we prove this conjecture in the asynchronous network model, and then discuss solutions to this dilemma in the partially synchronous model.</x:v>
      </x:c>
      <x:c r="J167" s="88" t="str">
        <x:v>Distributed systems and fault tolerance; Optimization and Search Problems; Mobile Agent-Based Network Management; Computer Science; Mathematics</x:v>
      </x:c>
      <x:c r="K167" s="88" t="str">
        <x:v>https://doi.org/10.1145/564585.564601 ; https://openalex.org/W2054584570 ; https://www.semanticscholar.org/paper/bbe7a291e74d12d0bcad6f623d8a13e084b83255</x:v>
      </x:c>
    </x:row>
    <x:row r="168" ht="62" customHeight="1">
      <x:c r="A168" s="86" t="n">
        <x:v>167</x:v>
      </x:c>
      <x:c r="B168" s="88" t="str">
        <x:v>BASE: An Acid Alternative</x:v>
      </x:c>
      <x:c r="C168" s="88" t="str">
        <x:v>10.1145/1394127.1394128</x:v>
      </x:c>
      <x:c r="D168" s="88" t="n">
        <x:v>2008</x:v>
      </x:c>
      <x:c r="E168" s="88" t="str">
        <x:v>Queue</x:v>
      </x:c>
      <x:c r="F168" s="88" t="str">
        <x:v>High</x:v>
      </x:c>
      <x:c r="G168" s="88" t="str">
        <x:v>Available</x:v>
      </x:c>
      <x:c r="H168" s="88" t="str">
        <x:v>Crossref</x:v>
      </x:c>
      <x:c r="I168" s="88" t="str">
        <x:v>Web applications have grown in popularity over the past decade. Whether you are building an application for end users or application developers (i.e., services), your hope is most likely that your application will find broad adoption and with broad adoption will come transactional growth. If your application relies upon persistence, then data storage will probably become your bottleneck.</x:v>
      </x:c>
      <x:c r="J168" s="88" t="str">
        <x:v>Service-Oriented Architecture and Web Services; Computer Science</x:v>
      </x:c>
      <x:c r="K168" s="88" t="str">
        <x:v>https://doi.org/10.1145/1394127.1394128 ; https://openalex.org/W1964517503 ; https://www.semanticscholar.org/paper/2e72e6c022dd33115304ecfcb6dad7ea609534a4</x:v>
      </x:c>
    </x:row>
    <x:row r="169" ht="62" customHeight="1">
      <x:c r="A169" s="86" t="n">
        <x:v>168</x:v>
      </x:c>
      <x:c r="B169" s="88" t="str">
        <x:v>In search of an understandable consensus algorithm</x:v>
      </x:c>
      <x:c r="C169" s="88" t="str"/>
      <x:c r="D169" s="88" t="n">
        <x:v>2014</x:v>
      </x:c>
      <x:c r="E169" s="88" t="str">
        <x:v>USENIX Annual Technical Conference</x:v>
      </x:c>
      <x:c r="F169" s="88" t="str">
        <x:v>High</x:v>
      </x:c>
      <x:c r="G169" s="88" t="str">
        <x:v>Available</x:v>
      </x:c>
      <x:c r="H169" s="88" t="str">
        <x:v>OpenAlex</x:v>
      </x:c>
      <x:c r="I169" s="88" t="str">
        <x:v>Raft is a consensus algorithm for managing a replicated log. It produces a result equivalent to (multi-)Paxos, and it is as efficient as Paxos, but its structure is different from Paxos; this makes Raft more understandable than Paxos and also provides a better foundation for build-ing practical systems. In order to enhance understandabil-ity, Raft separates the key elements of consensus, such as leader election, log replication, and safety, and it enforces a stronger degree of coherency to reduce the number of states that must be considered. Results from a user study demonstrate that Raft is easier for students to learn than Paxos. Raft also includes a new mechanism for changing the cluster membership, which uses overlapping majori-ties to guarantee safety. 1</x:v>
      </x:c>
      <x:c r="J169" s="88" t="str">
        <x:v>Distributed systems and fault tolerance; Data Quality and Management; Software System Performance and Reliability</x:v>
      </x:c>
      <x:c r="K169" s="88" t="str">
        <x:v>https://openalex.org/W2156580773</x:v>
      </x:c>
    </x:row>
    <x:row r="170" ht="62" customHeight="1">
      <x:c r="A170" s="86" t="n">
        <x:v>169</x:v>
      </x:c>
      <x:c r="B170" s="88" t="str">
        <x:v>Practical Byzantine fault tolerance</x:v>
      </x:c>
      <x:c r="C170" s="88" t="str"/>
      <x:c r="D170" s="88" t="n">
        <x:v>1999</x:v>
      </x:c>
      <x:c r="E170" s="88" t="str">
        <x:v>Operating Systems Design and Implementation</x:v>
      </x:c>
      <x:c r="F170" s="88" t="str">
        <x:v>High</x:v>
      </x:c>
      <x:c r="G170" s="88" t="str">
        <x:v>Available</x:v>
      </x:c>
      <x:c r="H170" s="88" t="str">
        <x:v>OpenAlex</x:v>
      </x:c>
      <x:c r="I170" s="88" t="str">
        <x:v>This paper describes a new replication algorithm that is able to tolerate Byzantine faults. We believe that Byzantinefault-tolerant algorithms will be increasingly important in the future because malicious attacks and software errors are increasingly common and can cause faulty nodes to exhibit arbitrary behavior. Whereas previous algorithms assumed a synchronous system or were too slow to be used in practice, the algorithm described in this paper is practical: it works in asynchronous environments like the Internet and incorporates several important optimizations that improve the response time of previous algorithms by more than an order of magnitude. We implemented a Byzantine-fault-tolerant NFS service using our algorithm and measured its performance. The results show that our service is only 3% slower than a standard unreplicated NFS.</x:v>
      </x:c>
      <x:c r="J170" s="88" t="str">
        <x:v>Distributed systems and fault tolerance; Cryptography and Data Security; Advanced Data Storage Technologies</x:v>
      </x:c>
      <x:c r="K170" s="88" t="str">
        <x:v>https://openalex.org/W2126087831</x:v>
      </x:c>
    </x:row>
    <x:row r="171" ht="62" customHeight="1">
      <x:c r="A171" s="86" t="n">
        <x:v>170</x:v>
      </x:c>
      <x:c r="B171" s="88" t="str">
        <x:v>HotStuff</x:v>
      </x:c>
      <x:c r="C171" s="88" t="str">
        <x:v>10.1145/3293611.3331591</x:v>
      </x:c>
      <x:c r="D171" s="88" t="n">
        <x:v>2019</x:v>
      </x:c>
      <x:c r="E171" s="88" t="str">
        <x:v>Proceedings of the 2019 ACM Symposium on Principles of Distributed Computing</x:v>
      </x:c>
      <x:c r="F171" s="88" t="str">
        <x:v>High</x:v>
      </x:c>
      <x:c r="G171" s="88" t="str">
        <x:v>Available</x:v>
      </x:c>
      <x:c r="H171" s="88" t="str">
        <x:v>OpenAlex</x:v>
      </x:c>
      <x:c r="I171" s="88" t="str">
        <x:v>We present HotStuff, a leader-based Byzantine fault-tolerant replication protocol for the partially synchronous model. Once network communication becomes synchronous, HotStuff enables a correct leader to drive the protocol to consensus at the pace of actual (vs. maximum) network delay--a property called responsiveness---and with communication complexity that is linear in the number of replicas. To our knowledge, HotStuff is the first partially synchronous BFT replication protocol exhibiting these combined properties. Its simplicity enables it to be further pipelined and simplified into a practical, concise protocol for building large-scale replication services.</x:v>
      </x:c>
      <x:c r="J171" s="88" t="str">
        <x:v>Distributed systems and fault tolerance; Age of Information Optimization; Advanced Data Storage Technologies; Computer Science</x:v>
      </x:c>
      <x:c r="K171" s="88" t="str">
        <x:v>https://doi.org/10.1145/3293611.3331591 ; https://openalex.org/W2964159515 ; https://www.semanticscholar.org/paper/50dd47f615068b0eac1eeed60c91e95549aed3d4</x:v>
      </x:c>
    </x:row>
    <x:row r="172" ht="62" customHeight="1">
      <x:c r="A172" s="86" t="n">
        <x:v>171</x:v>
      </x:c>
      <x:c r="B172" s="88" t="str">
        <x:v>State Machine Replication for the Masses with BFT-SMART</x:v>
      </x:c>
      <x:c r="C172" s="88" t="str">
        <x:v>10.1109/dsn.2014.43</x:v>
      </x:c>
      <x:c r="D172" s="88" t="n">
        <x:v>2014</x:v>
      </x:c>
      <x:c r="E172" s="88" t="str">
        <x:v>2014 44th Annual IEEE/IFIP International Conference on Dependable Systems and Networks</x:v>
      </x:c>
      <x:c r="F172" s="88" t="str">
        <x:v>High</x:v>
      </x:c>
      <x:c r="G172" s="88" t="str">
        <x:v>Available</x:v>
      </x:c>
      <x:c r="H172" s="88" t="str">
        <x:v>OpenAlex</x:v>
      </x:c>
      <x:c r="I172" s="88" t="str">
        <x:v>The last fifteen years have seen an impressive amount of work on protocols for Byzantine fault-tolerant (BFT) state machine replication (SMR). However, there is still a need for practical and reliable software libraries implementing this technique. BFT-SMART is an open-source Java-based library implementing robust BFT state machine replication. Some of the key features of this library that distinguishes it from similar works (e.g., PBFT and UpRight) are improved reliability, modularity as a first-class property, multicore-awareness, reconfiguration support and a flexible programming interface. When compared to other SMR libraries, BFT-SMART achieves better performance and is able to withstand a number of real-world faults that previous implementations cannot.</x:v>
      </x:c>
      <x:c r="J172" s="88" t="str">
        <x:v>Distributed systems and fault tolerance; Parallel Computing and Optimization Techniques; Radiation Effects in Electronics; Computer Science</x:v>
      </x:c>
      <x:c r="K172" s="88" t="str">
        <x:v>https://doi.org/10.1109/dsn.2014.43 ; https://openalex.org/W2110880385 ; https://www.semanticscholar.org/paper/249f4f06759ff3f720d9ee44019e03f8ca55e00c</x:v>
      </x:c>
    </x:row>
    <x:row r="173" ht="62" customHeight="1">
      <x:c r="A173" s="86" t="n">
        <x:v>172</x:v>
      </x:c>
      <x:c r="B173" s="88" t="str">
        <x:v>The design space of register renaming techniques</x:v>
      </x:c>
      <x:c r="C173" s="88" t="str">
        <x:v>10.1109/40.877952</x:v>
      </x:c>
      <x:c r="D173" s="88" t="n">
        <x:v>2000</x:v>
      </x:c>
      <x:c r="E173" s="88" t="str">
        <x:v>IEEE Micro</x:v>
      </x:c>
      <x:c r="F173" s="88" t="str">
        <x:v>High</x:v>
      </x:c>
      <x:c r="G173" s="88" t="str">
        <x:v>Available</x:v>
      </x:c>
      <x:c r="H173" s="88" t="str">
        <x:v>OpenAlex</x:v>
      </x:c>
      <x:c r="I173" s="88" t="str">
        <x:v>Register renaming is a technique to remove false data dependencie-write after read (WAR) and write after write (WAW)-that occur in straight line code between register operands of subsequent instructions. By eliminating related precedence requirements in the execution sequence of the instructions, renaming increases the average number of instructions that are available for parallel execution per cycle. This results in increased IPC (number of instructions executed per cycle). The identification and exploration of the design space of register-renaming lead to a comprehensive understanding of this intricate technique. As this article shows, the design space of register renaming is spanned by four main dimensions: the scope of register renaming, the layout of the rename buffers, the method of register mapping, and the rename rate. Relevant aspects of the design space give rise to eight basic alternatives for register-renaming. In addition, the kind of operand fetch policy significantly affects how the processor carries out the rename process, which duplicates the eight basic alternatives to 16 possible implementation schemes. The article indicates which basic implementation scheme is used in relevant superscalar processors. As register renaming is usually implemented in conjunction with shelving, the underlying microarchitecture is assumed to employ shelving.</x:v>
      </x:c>
      <x:c r="J173" s="88" t="str">
        <x:v>Parallel Computing and Optimization Techniques; Advanced Data Storage Technologies; Interconnection Networks and Systems; Computer Science</x:v>
      </x:c>
      <x:c r="K173" s="88" t="str">
        <x:v>https://doi.org/10.1109/40.877952 ; https://openalex.org/W2103405122 ; https://www.semanticscholar.org/paper/c6a25111739160e508d98a41ed176b628fd041dc</x:v>
      </x:c>
    </x:row>
    <x:row r="174" ht="62" customHeight="1">
      <x:c r="A174" s="86" t="n">
        <x:v>173</x:v>
      </x:c>
      <x:c r="B174" s="88" t="str">
        <x:v>What if Dictionary size in LZW algorithm is full?</x:v>
      </x:c>
      <x:c r="C174" s="88" t="str"/>
      <x:c r="D174" s="88" t="n">
        <x:v>2016</x:v>
      </x:c>
      <x:c r="E174" s="88" t="str"/>
      <x:c r="F174" s="88" t="str">
        <x:v>Unverified</x:v>
      </x:c>
      <x:c r="G174" s="88" t="str">
        <x:v>Not available; source may not be a journal paper</x:v>
      </x:c>
      <x:c r="H174" s="88" t="str"/>
      <x:c r="I174" s="88" t="str"/>
      <x:c r="J174" s="88" t="str"/>
      <x:c r="K174" s="88" t="str"/>
    </x:row>
    <x:row r="175" ht="62" customHeight="1">
      <x:c r="A175" s="86" t="n">
        <x:v>174</x:v>
      </x:c>
      <x:c r="B175" s="88" t="str">
        <x:v>Fairledger: a Fair Proof-of-Sequential-Work based Lightweight Distributed Ledger for IoT Networks</x:v>
      </x:c>
      <x:c r="C175" s="88" t="str">
        <x:v>10.1109/blockchain55522.2022.00055</x:v>
      </x:c>
      <x:c r="D175" s="88" t="n">
        <x:v>2022</x:v>
      </x:c>
      <x:c r="E175" s="88" t="str">
        <x:v>2022 IEEE International Conference on Blockchain (Blockchain)</x:v>
      </x:c>
      <x:c r="F175" s="88" t="str">
        <x:v>High</x:v>
      </x:c>
      <x:c r="G175" s="88" t="str">
        <x:v>Available</x:v>
      </x:c>
      <x:c r="H175" s="88" t="str">
        <x:v>OpenAlex</x:v>
      </x:c>
      <x:c r="I175" s="88" t="str">
        <x:v>Blockchain has been recognized as a promising solution to construct a tamper-proof and trust-free decentralized framework for Internet of Things (loT) systems. However, directly applying cryptocurrency-oriented blockchains in loT networks still meets tremendous limitations. Proof-of-Work (PoW) consensus protocol enables a blockchain to achieve pseudonymity, scalability and probabilistic finality in an asynchronous and open-access network environment. The compute-intensive PoW favors nodes possessing more computing power, but fairness is an important requirement in highly heterogeneous loT networks. A blockchain designed for loT edge environments must consider devices with various constraints on computation power. This paper proposes Fairledger, a fair Proof-of-Sequential-Work (PoSW) based lightweight distributed ledger for small-scale, permissioned loT networks. By combining efficient verifiable delay function (eVDF) and Proof-of-Credit (PoC) puzzle, PoSW consensus protocol guarantees fairness by requiring all the miners perform a fixed sequential computing steps to represent PoW for block generation despite their hardware resources. Due to the virtual mining manner of PoSW, Fairledger demonstrates computing efficiency compared to traditional PoW blockchains. In addition, Fairledger is less susceptible to “long-range” and “nothing-at-stake” attacks than Proof-of-Stake (PoS) protocols are. A proof-of-concept prototype is implemented, and the experimental results verify the feasibility of running Fairledger in a physical loT network with higher throughput, less computation and communication cost, and better security guarantees.</x:v>
      </x:c>
      <x:c r="J175" s="88" t="str">
        <x:v>Blockchain Technology Applications and Security; IoT and Edge/Fog Computing; Caching and Content Delivery; Computer Science</x:v>
      </x:c>
      <x:c r="K175" s="88" t="str">
        <x:v>https://doi.org/10.1109/blockchain55522.2022.00055 ; https://openalex.org/W4296442515 ; https://www.semanticscholar.org/paper/3dae538251b69279cc093bc98a28e7015181cce5</x:v>
      </x:c>
    </x:row>
    <x:row r="176" ht="62" customHeight="1">
      <x:c r="A176" s="86" t="n">
        <x:v>175</x:v>
      </x:c>
      <x:c r="B176" s="88" t="str">
        <x:v>MSP Identity Validity Rules</x:v>
      </x:c>
      <x:c r="C176" s="88" t="str"/>
      <x:c r="D176" s="88" t="n">
        <x:v>2022</x:v>
      </x:c>
      <x:c r="E176" s="88" t="str"/>
      <x:c r="F176" s="88" t="str">
        <x:v>Unverified</x:v>
      </x:c>
      <x:c r="G176" s="88" t="str">
        <x:v>Not available; source may not be a journal paper</x:v>
      </x:c>
      <x:c r="H176" s="88" t="str"/>
      <x:c r="I176" s="88" t="str"/>
      <x:c r="J176" s="88" t="str"/>
      <x:c r="K176" s="88" t="str"/>
    </x:row>
    <x:row r="177" ht="62" customHeight="1">
      <x:c r="A177" s="86" t="n">
        <x:v>176</x:v>
      </x:c>
      <x:c r="B177" s="88" t="str">
        <x:v>Enhancing Bitcoin Scalability through Parallel Programming and Chinese Remainder Theorem Optimization with Applications in Agriculture and Healthcare</x:v>
      </x:c>
      <x:c r="C177" s="88" t="str"/>
      <x:c r="D177" s="88" t="n">
        <x:v>2025</x:v>
      </x:c>
      <x:c r="E177" s="88" t="str"/>
      <x:c r="F177" s="88" t="str">
        <x:v>Unverified</x:v>
      </x:c>
      <x:c r="G177" s="88" t="str">
        <x:v>Not available; source may not be a journal paper</x:v>
      </x:c>
      <x:c r="H177" s="88" t="str"/>
      <x:c r="I177" s="88" t="str"/>
      <x:c r="J177" s="88" t="str"/>
      <x:c r="K177" s="88" t="str"/>
    </x:row>
    <x:row r="178" ht="62" customHeight="1">
      <x:c r="A178" s="86" t="n">
        <x:v>177</x:v>
      </x:c>
      <x:c r="B178" s="88" t="str">
        <x:v>A Decentralized Hierarchical Role-Based Access Control Framework for Agricultural Edge Internet of Things: Design, Implementation, and 61-Day Field Evaluation</x:v>
      </x:c>
      <x:c r="C178" s="88" t="str"/>
      <x:c r="D178" s="88" t="n">
        <x:v>2025</x:v>
      </x:c>
      <x:c r="E178" s="88" t="str"/>
      <x:c r="F178" s="88" t="str">
        <x:v>Unverified</x:v>
      </x:c>
      <x:c r="G178" s="88" t="str">
        <x:v>Not available; source may not be a journal paper</x:v>
      </x:c>
      <x:c r="H178" s="88" t="str"/>
      <x:c r="I178" s="88" t="str"/>
      <x:c r="J178" s="88" t="str"/>
      <x:c r="K178" s="88" t="str"/>
    </x:row>
  </x:sheetData>
  <x:conditionalFormatting sqref="F2:F178">
    <x:cfRule type="containsText" dxfId="4" priority="1" operator="containsText" text="Unverified"/>
  </x:conditionalFormatting>
  <x:pageMargins left="0.7" right="0.7" top="0.75" bottom="0.75" header="0.3" footer="0.3"/>
  <x:tableParts count="1">
    <x:tablePart xmlns:r="http://schemas.openxmlformats.org/officeDocument/2006/relationships" r:id="R9a3f823f79ae48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36" hidden="0" customWidth="1"/>
    <x:col min="4" max="4" width="58" hidden="0" customWidth="1"/>
  </x:cols>
  <x:sheetData>
    <x:row r="1">
      <x:c r="A1" s="92" t="str">
        <x:v>Methodology and limitations</x:v>
      </x:c>
      <x:c r="B1" s="92"/>
      <x:c r="C1" s="92"/>
      <x:c r="D1" s="92"/>
    </x:row>
    <x:row r="3">
      <x:c r="A3" s="109" t="str">
        <x:v>Area</x:v>
      </x:c>
      <x:c r="B3" s="110" t="str">
        <x:v>Method</x:v>
      </x:c>
      <x:c r="C3" s="110" t="str">
        <x:v>Source(s)</x:v>
      </x:c>
      <x:c r="D3" s="111" t="str">
        <x:v>Limitation</x:v>
      </x:c>
    </x:row>
    <x:row r="4" ht="55" customHeight="1">
      <x:c r="A4" s="120" t="str">
        <x:v>Record set</x:v>
      </x:c>
      <x:c r="B4" s="113" t="str">
        <x:v>All 177 entries marked not downloaded in reference_bib_catalog.csv</x:v>
      </x:c>
      <x:c r="C4" s="113" t="str">
        <x:v>Uploaded reference.bib and prior catalog</x:v>
      </x:c>
      <x:c r="D4" s="114" t="str">
        <x:v>Includes journal papers, books, proceedings, manuals, standards, product documentation, and web resources.</x:v>
      </x:c>
    </x:row>
    <x:row r="5" ht="55" customHeight="1">
      <x:c r="A5" s="120" t="str">
        <x:v>Identity matching</x:v>
      </x:c>
      <x:c r="B5" s="113" t="str">
        <x:v>DOI resolution first; otherwise normalized title matching with conservative thresholds</x:v>
      </x:c>
      <x:c r="C5" s="113" t="str">
        <x:v>Crossref, OpenAlex, Semantic Scholar</x:v>
      </x:c>
      <x:c r="D5" s="114" t="str">
        <x:v>Unverified rows may still exist but could not be matched confidently.</x:v>
      </x:c>
    </x:row>
    <x:row r="6" ht="55" customHeight="1">
      <x:c r="A6" s="120" t="str">
        <x:v>Abstracts</x:v>
      </x:c>
      <x:c r="B6" s="113" t="str">
        <x:v>Only source-provided abstracts were copied; no abstract was generated or inferred</x:v>
      </x:c>
      <x:c r="C6" s="113" t="str">
        <x:v>Crossref, OpenAlex, Semantic Scholar</x:v>
      </x:c>
      <x:c r="D6" s="114" t="str">
        <x:v>Abstract coverage varies by publisher and resource type.</x:v>
      </x:c>
    </x:row>
    <x:row r="7" ht="55" customHeight="1">
      <x:c r="A7" s="120" t="str">
        <x:v>Citation counts</x:v>
      </x:c>
      <x:c r="B7" s="113" t="str">
        <x:v>Best available count from Crossref, OpenAlex, or Semantic Scholar</x:v>
      </x:c>
      <x:c r="C7" s="113" t="str">
        <x:v>Crossref, OpenAlex, Semantic Scholar</x:v>
      </x:c>
      <x:c r="D7" s="114" t="str">
        <x:v>Counts change over time and differ by index.</x:v>
      </x:c>
    </x:row>
    <x:row r="8" ht="55" customHeight="1">
      <x:c r="A8" s="120" t="str">
        <x:v>Open access</x:v>
      </x:c>
      <x:c r="B8" s="113" t="str">
        <x:v>OA status taken from OpenAlex/Semantic Scholar and retained prior catalog status</x:v>
      </x:c>
      <x:c r="C8" s="113" t="str">
        <x:v>OpenAlex, Semantic Scholar</x:v>
      </x:c>
      <x:c r="D8" s="114" t="str">
        <x:v>OA status does not guarantee that a direct PDF could be retrieved.</x:v>
      </x:c>
    </x:row>
    <x:row r="9" ht="55" customHeight="1">
      <x:c r="A9" s="121" t="str">
        <x:v>PDF status</x:v>
      </x:c>
      <x:c r="B9" s="116" t="str">
        <x:v>Reason inherited from the download audit</x:v>
      </x:c>
      <x:c r="C9" s="116" t="str">
        <x:v>Prior download audit</x:v>
      </x:c>
      <x:c r="D9" s="117" t="str">
        <x:v>No shadow-library or paywall-bypass sources were used.</x:v>
      </x:c>
    </x:row>
    <x:row r="11">
      <x:c r="A11" s="44" t="str">
        <x:v>Workbook fields</x:v>
      </x:c>
      <x:c r="B11" s="44"/>
      <x:c r="C11" s="44"/>
      <x:c r="D11" s="44"/>
    </x:row>
    <x:row r="12">
      <x:c r="A12" s="139" t="str">
        <x:v>Records contains the complete audit trail, including original and corrected citation data, DOI/access links, abstract provenance, citation counts, open-access status, download-failure reason, and verification confidence. Abstracts is a narrower reading view. URLs are plain text for portability and auditability. Generated 2026-08-17.</x:v>
      </x:c>
      <x:c r="B12" s="140"/>
      <x:c r="C12" s="140"/>
      <x:c r="D12" s="141"/>
    </x:row>
    <x:row r="13">
      <x:c r="A13" s="142"/>
      <x:c r="B13" s="143"/>
      <x:c r="C13" s="143"/>
      <x:c r="D13" s="144"/>
    </x:row>
    <x:row r="14">
      <x:c r="A14" s="142"/>
      <x:c r="B14" s="143"/>
      <x:c r="C14" s="143"/>
      <x:c r="D14" s="144"/>
    </x:row>
    <x:row r="15">
      <x:c r="A15" s="142"/>
      <x:c r="B15" s="143"/>
      <x:c r="C15" s="143"/>
      <x:c r="D15" s="144"/>
    </x:row>
    <x:row r="16">
      <x:c r="A16" s="142"/>
      <x:c r="B16" s="143"/>
      <x:c r="C16" s="143"/>
      <x:c r="D16" s="144"/>
    </x:row>
    <x:row r="17">
      <x:c r="A17" s="145"/>
      <x:c r="B17" s="146"/>
      <x:c r="C17" s="146"/>
      <x:c r="D17" s="147"/>
    </x:row>
  </x:sheetData>
  <x:mergeCells>
    <x:mergeCell ref="A1:D1"/>
    <x:mergeCell ref="A11:D11"/>
    <x:mergeCell ref="A12:D17"/>
  </x:mergeCells>
  <x:pageMargins left="0.7" right="0.7" top="0.75" bottom="0.75" header="0.3" footer="0.3"/>
</x:worksheet>
</file>